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aabfa034254d83" /></Relationships>
</file>

<file path=xl/workbook.xml><?xml version="1.0" encoding="utf-8"?>
<x:workbook xmlns:x="http://schemas.openxmlformats.org/spreadsheetml/2006/main">
  <x:sheets>
    <x:sheet xmlns:r="http://schemas.openxmlformats.org/officeDocument/2006/relationships" name="District View" sheetId="1" r:id="R1cdb824a9c4d4fe7"/>
    <x:sheet xmlns:r="http://schemas.openxmlformats.org/officeDocument/2006/relationships" name="Institution List" sheetId="2" r:id="R3b6f11bf1444400f"/>
    <x:sheet xmlns:r="http://schemas.openxmlformats.org/officeDocument/2006/relationships" name="Summary" sheetId="3" r:id="R1e7194f55eeb4d39"/>
    <x:sheet xmlns:r="http://schemas.openxmlformats.org/officeDocument/2006/relationships" name="Sources &amp; Notes" sheetId="4" r:id="R3ded668d2c664c4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color rgb="14532D"/>
      <x:name val="Carlito"/>
    </x:font>
  </x:fonts>
  <x:fills count="4">
    <x:fill>
      <x:patternFill patternType="none"/>
    </x:fill>
    <x:fill>
      <x:patternFill patternType="gray125"/>
    </x:fill>
    <x:fill>
      <x:patternFill patternType="solid">
        <x:fgColor rgb="14532D"/>
      </x:patternFill>
    </x:fill>
    <x:fill>
      <x:patternFill patternType="solid">
        <x:fgColor rgb="DCFCE7"/>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eddc24db36492d" /><Relationship Type="http://schemas.openxmlformats.org/officeDocument/2006/relationships/theme" Target="/xl/theme/theme1.xml" Id="Rdb8eb0c5f33c417e" /><Relationship Type="http://schemas.openxmlformats.org/officeDocument/2006/relationships/sharedStrings" Target="/xl/sharedStrings.xml" Id="R1844d22f56024e55" /><Relationship Type="http://schemas.openxmlformats.org/officeDocument/2006/relationships/worksheet" Target="/xl/worksheets/sheet1.xml" Id="R1cdb824a9c4d4fe7" /><Relationship Type="http://schemas.openxmlformats.org/officeDocument/2006/relationships/worksheet" Target="/xl/worksheets/sheet2.xml" Id="R3b6f11bf1444400f" /><Relationship Type="http://schemas.openxmlformats.org/officeDocument/2006/relationships/worksheet" Target="/xl/worksheets/sheet3.xml" Id="R1e7194f55eeb4d39" /><Relationship Type="http://schemas.openxmlformats.org/officeDocument/2006/relationships/worksheet" Target="/xl/worksheets/sheet4.xml" Id="R3ded668d2c664c42" /></Relationships>
</file>

<file path=xl/tables/table1.xml><?xml version="1.0" encoding="utf-8"?>
<x:table xmlns:x="http://schemas.openxmlformats.org/spreadsheetml/2006/main" id="1" name="DistrictViewTable" displayName="DistrictViewTable" ref="A1:I65" headerRowCount="1">
  <x:tableColumns count="9">
    <x:tableColumn id="1" name="Division"/>
    <x:tableColumn id="2" name="District"/>
    <x:tableColumn id="3" name="Public Universities"/>
    <x:tableColumn id="4" name="Private Universities"/>
    <x:tableColumn id="5" name="International Universities"/>
    <x:tableColumn id="6" name="Public Medical Colleges"/>
    <x:tableColumn id="7" name="Private Medical Colleges"/>
    <x:tableColumn id="8" name="Military Medical Colleges"/>
    <x:tableColumn id="9" name="Proposed / Special Notes"/>
  </x:tableColumns>
  <x:tableStyleInfo name="TableStyleMedium2" showRowStripes="1"/>
</x:table>
</file>

<file path=xl/tables/table2.xml><?xml version="1.0" encoding="utf-8"?>
<x:table xmlns:x="http://schemas.openxmlformats.org/spreadsheetml/2006/main" id="2" name="InstitutionListTable" displayName="InstitutionListTable" ref="A1:I291" headerRowCount="1">
  <x:tableColumns count="9">
    <x:tableColumn id="1" name="Division"/>
    <x:tableColumn id="2" name="District"/>
    <x:tableColumn id="3" name="Institution"/>
    <x:tableColumn id="4" name="Category"/>
    <x:tableColumn id="5" name="Sector"/>
    <x:tableColumn id="6" name="Subtype"/>
    <x:tableColumn id="7" name="Location / Campus"/>
    <x:tableColumn id="8" name="Notes"/>
    <x:tableColumn id="9" name="Source URL"/>
  </x:tableColumns>
  <x:tableStyleInfo name="TableStyleMedium2" showRowStripes="1"/>
</x:table>
</file>

<file path=xl/tables/table3.xml><?xml version="1.0" encoding="utf-8"?>
<x:table xmlns:x="http://schemas.openxmlformats.org/spreadsheetml/2006/main" id="3" name="SummaryTable" displayName="SummaryTable" ref="A1:J66" headerRowCount="1">
  <x:tableColumns count="10">
    <x:tableColumn id="1" name="Division"/>
    <x:tableColumn id="2" name="District"/>
    <x:tableColumn id="3" name="Public Universities"/>
    <x:tableColumn id="4" name="Private Universities"/>
    <x:tableColumn id="5" name="International Universities"/>
    <x:tableColumn id="6" name="Public Medical Colleges"/>
    <x:tableColumn id="7" name="Private Medical Colleges"/>
    <x:tableColumn id="8" name="Military Medical Colleges"/>
    <x:tableColumn id="9" name="Proposed Medical Colleges"/>
    <x:tableColumn id="10" name="Total Institutions"/>
  </x:tableColumns>
  <x:tableStyleInfo name="TableStyleMedium2" showRowStripes="1"/>
</x:table>
</file>

<file path=xl/tables/table4.xml><?xml version="1.0" encoding="utf-8"?>
<x:table xmlns:x="http://schemas.openxmlformats.org/spreadsheetml/2006/main" id="4" name="SourcesTable" displayName="SourcesTable" ref="A1:C12" headerRowCount="1">
  <x:tableColumns count="3">
    <x:tableColumn id="1" name="Item"/>
    <x:tableColumn id="2" name="Detail"/>
    <x:tableColumn id="3"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032a3c5a534c09" /></Relationships>
</file>

<file path=xl/worksheets/_rels/sheet2.xml.rels>&#65279;<?xml version="1.0" encoding="utf-8"?><Relationships xmlns="http://schemas.openxmlformats.org/package/2006/relationships"><Relationship Type="http://schemas.openxmlformats.org/officeDocument/2006/relationships/table" Target="/xl/tables/table2.xml" Id="Ra9c0ae10008f406b" /></Relationships>
</file>

<file path=xl/worksheets/_rels/sheet3.xml.rels>&#65279;<?xml version="1.0" encoding="utf-8"?><Relationships xmlns="http://schemas.openxmlformats.org/package/2006/relationships"><Relationship Type="http://schemas.openxmlformats.org/officeDocument/2006/relationships/table" Target="/xl/tables/table3.xml" Id="Rfe76e59459cd467c" /></Relationships>
</file>

<file path=xl/worksheets/_rels/sheet4.xml.rels>&#65279;<?xml version="1.0" encoding="utf-8"?><Relationships xmlns="http://schemas.openxmlformats.org/package/2006/relationships"><Relationship Type="http://schemas.openxmlformats.org/officeDocument/2006/relationships/table" Target="/xl/tables/table4.xml" Id="Rcdb23fbfbe514b71"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s>
  <x:sheetData>
    <x:row r="1">
      <x:c r="A1" s="6" t="str">
        <x:v>Division</x:v>
      </x:c>
      <x:c r="B1" s="6" t="str">
        <x:v>District</x:v>
      </x:c>
      <x:c r="C1" s="6" t="str">
        <x:v>Public Universities</x:v>
      </x:c>
      <x:c r="D1" s="6" t="str">
        <x:v>Private Universities</x:v>
      </x:c>
      <x:c r="E1" s="6" t="str">
        <x:v>International Universities</x:v>
      </x:c>
      <x:c r="F1" s="6" t="str">
        <x:v>Public Medical Colleges</x:v>
      </x:c>
      <x:c r="G1" s="6" t="str">
        <x:v>Private Medical Colleges</x:v>
      </x:c>
      <x:c r="H1" s="6" t="str">
        <x:v>Military Medical Colleges</x:v>
      </x:c>
      <x:c r="I1" s="6" t="str">
        <x:v>Proposed / Special Notes</x:v>
      </x:c>
    </x:row>
    <x:row r="2">
      <x:c r="A2" s="14" t="str">
        <x:v>Barishal</x:v>
      </x:c>
      <x:c r="B2" s="14" t="str">
        <x:v>Barguna</x:v>
      </x:c>
      <x:c r="C2" s="14" t="str">
        <x:v>—</x:v>
      </x:c>
      <x:c r="D2" s="14" t="str">
        <x:v>—</x:v>
      </x:c>
      <x:c r="E2" s="14" t="str">
        <x:v>—</x:v>
      </x:c>
      <x:c r="F2" s="14" t="str">
        <x:v>—</x:v>
      </x:c>
      <x:c r="G2" s="14" t="str">
        <x:v>—</x:v>
      </x:c>
      <x:c r="H2" s="14" t="str">
        <x:v>—</x:v>
      </x:c>
      <x:c r="I2" s="14" t="str">
        <x:v>—</x:v>
      </x:c>
    </x:row>
    <x:row r="3">
      <x:c r="A3" s="14" t="str">
        <x:v>Barishal</x:v>
      </x:c>
      <x:c r="B3" s="14" t="str">
        <x:v>Barishal</x:v>
      </x:c>
      <x:c r="C3" s="14" t="str">
        <x:v>University of Barishal</x:v>
      </x:c>
      <x:c r="D3" s="14" t="str">
        <x:v>Global University Bangladesh
Trust University, Barishal
University of Global Village</x:v>
      </x:c>
      <x:c r="E3" s="14" t="str">
        <x:v>—</x:v>
      </x:c>
      <x:c r="F3" s="14" t="str">
        <x:v>Sher-e-Bangla Medical College</x:v>
      </x:c>
      <x:c r="G3" s="14" t="str">
        <x:v>South Apollo Medical College</x:v>
      </x:c>
      <x:c r="H3" s="14" t="str">
        <x:v>—</x:v>
      </x:c>
      <x:c r="I3" s="14" t="str">
        <x:v>—</x:v>
      </x:c>
    </x:row>
    <x:row r="4">
      <x:c r="A4" s="14" t="str">
        <x:v>Barishal</x:v>
      </x:c>
      <x:c r="B4" s="14" t="str">
        <x:v>Bhola</x:v>
      </x:c>
      <x:c r="C4" s="14" t="str">
        <x:v>—</x:v>
      </x:c>
      <x:c r="D4" s="14" t="str">
        <x:v>—</x:v>
      </x:c>
      <x:c r="E4" s="14" t="str">
        <x:v>—</x:v>
      </x:c>
      <x:c r="F4" s="14" t="str">
        <x:v>—</x:v>
      </x:c>
      <x:c r="G4" s="14" t="str">
        <x:v>—</x:v>
      </x:c>
      <x:c r="H4" s="14" t="str">
        <x:v>—</x:v>
      </x:c>
      <x:c r="I4" s="14" t="str">
        <x:v>—</x:v>
      </x:c>
    </x:row>
    <x:row r="5">
      <x:c r="A5" s="14" t="str">
        <x:v>Barishal</x:v>
      </x:c>
      <x:c r="B5" s="14" t="str">
        <x:v>Jhalokati</x:v>
      </x:c>
      <x:c r="C5" s="14" t="str">
        <x:v>—</x:v>
      </x:c>
      <x:c r="D5" s="14" t="str">
        <x:v>—</x:v>
      </x:c>
      <x:c r="E5" s="14" t="str">
        <x:v>—</x:v>
      </x:c>
      <x:c r="F5" s="14" t="str">
        <x:v>—</x:v>
      </x:c>
      <x:c r="G5" s="14" t="str">
        <x:v>—</x:v>
      </x:c>
      <x:c r="H5" s="14" t="str">
        <x:v>—</x:v>
      </x:c>
      <x:c r="I5" s="14" t="str">
        <x:v>—</x:v>
      </x:c>
    </x:row>
    <x:row r="6">
      <x:c r="A6" s="14" t="str">
        <x:v>Barishal</x:v>
      </x:c>
      <x:c r="B6" s="14" t="str">
        <x:v>Patuakhali</x:v>
      </x:c>
      <x:c r="C6" s="14" t="str">
        <x:v>Patuakhali Science and Technology University</x:v>
      </x:c>
      <x:c r="D6" s="14" t="str">
        <x:v>—</x:v>
      </x:c>
      <x:c r="E6" s="14" t="str">
        <x:v>—</x:v>
      </x:c>
      <x:c r="F6" s="14" t="str">
        <x:v>Patuakhali Medical College</x:v>
      </x:c>
      <x:c r="G6" s="14" t="str">
        <x:v>—</x:v>
      </x:c>
      <x:c r="H6" s="14" t="str">
        <x:v>—</x:v>
      </x:c>
      <x:c r="I6" s="14" t="str">
        <x:v>—</x:v>
      </x:c>
    </x:row>
    <x:row r="7">
      <x:c r="A7" s="14" t="str">
        <x:v>Barishal</x:v>
      </x:c>
      <x:c r="B7" s="14" t="str">
        <x:v>Pirojpur</x:v>
      </x:c>
      <x:c r="C7" s="14" t="str">
        <x:v>Pirojpur Science and Technology University</x:v>
      </x:c>
      <x:c r="D7" s="14" t="str">
        <x:v>—</x:v>
      </x:c>
      <x:c r="E7" s="14" t="str">
        <x:v>—</x:v>
      </x:c>
      <x:c r="F7" s="14" t="str">
        <x:v>—</x:v>
      </x:c>
      <x:c r="G7" s="14" t="str">
        <x:v>—</x:v>
      </x:c>
      <x:c r="H7" s="14" t="str">
        <x:v>—</x:v>
      </x:c>
      <x:c r="I7" s="14" t="str">
        <x:v>—</x:v>
      </x:c>
    </x:row>
    <x:row r="8">
      <x:c r="A8" s="14" t="str">
        <x:v>Chattogram</x:v>
      </x:c>
      <x:c r="B8" s="14" t="str">
        <x:v>Bandarban</x:v>
      </x:c>
      <x:c r="C8" s="14" t="str">
        <x:v>—</x:v>
      </x:c>
      <x:c r="D8" s="14" t="str">
        <x:v>Bandarban University</x:v>
      </x:c>
      <x:c r="E8" s="14" t="str">
        <x:v>—</x:v>
      </x:c>
      <x:c r="F8" s="14" t="str">
        <x:v>—</x:v>
      </x:c>
      <x:c r="G8" s="14" t="str">
        <x:v>—</x:v>
      </x:c>
      <x:c r="H8" s="14" t="str">
        <x:v>—</x:v>
      </x:c>
      <x:c r="I8" s="14" t="str">
        <x:v>—</x:v>
      </x:c>
    </x:row>
    <x:row r="9">
      <x:c r="A9" s="14" t="str">
        <x:v>Chattogram</x:v>
      </x:c>
      <x:c r="B9" s="14" t="str">
        <x:v>Brahmanbaria</x:v>
      </x:c>
      <x:c r="C9" s="14" t="str">
        <x:v>—</x:v>
      </x:c>
      <x:c r="D9" s="14" t="str">
        <x:v>University of Brahmanbaria</x:v>
      </x:c>
      <x:c r="E9" s="14" t="str">
        <x:v>—</x:v>
      </x:c>
      <x:c r="F9" s="14" t="str">
        <x:v>—</x:v>
      </x:c>
      <x:c r="G9" s="14" t="str">
        <x:v>Brahmanbaria Medical College</x:v>
      </x:c>
      <x:c r="H9" s="14" t="str">
        <x:v>—</x:v>
      </x:c>
      <x:c r="I9" s="14" t="str">
        <x:v>—</x:v>
      </x:c>
    </x:row>
    <x:row r="10">
      <x:c r="A10" s="14" t="str">
        <x:v>Chattogram</x:v>
      </x:c>
      <x:c r="B10" s="14" t="str">
        <x:v>Chandpur</x:v>
      </x:c>
      <x:c r="C10" s="14" t="str">
        <x:v>Chandpur Science and Technology University</x:v>
      </x:c>
      <x:c r="D10" s="14" t="str">
        <x:v>—</x:v>
      </x:c>
      <x:c r="E10" s="14" t="str">
        <x:v>—</x:v>
      </x:c>
      <x:c r="F10" s="14" t="str">
        <x:v>Chandpur Medical College</x:v>
      </x:c>
      <x:c r="G10" s="14" t="str">
        <x:v>—</x:v>
      </x:c>
      <x:c r="H10" s="14" t="str">
        <x:v>—</x:v>
      </x:c>
      <x:c r="I10" s="14" t="str">
        <x:v>—</x:v>
      </x:c>
    </x:row>
    <x:row r="11">
      <x:c r="A11" s="14" t="str">
        <x:v>Chattogram</x:v>
      </x:c>
      <x:c r="B11" s="14" t="str">
        <x:v>Chattogram</x:v>
      </x:c>
      <x:c r="C11" s="14" t="str">
        <x:v>Chittagong Medical University
Chittagong University of Engineering &amp; Technology
Chittagong Veterinary and Animal Sciences University
University of Chittagong</x:v>
      </x:c>
      <x:c r="D11" s="14" t="str">
        <x:v>BGC Trust University Bangladesh
Chattogram BGMEA University of Fashion and Technology
Chittagong Independent University
East Delta University
International Islamic University Chittagong
Port City International University
Premier University, Chittagong
Southern University Bangladesh
University of Creative Technology Chittagong
University of Science and Technology Chittagong</x:v>
      </x:c>
      <x:c r="E11" s="14" t="str">
        <x:v>Asian University for Women</x:v>
      </x:c>
      <x:c r="F11" s="14" t="str">
        <x:v>Chittagong Medical College</x:v>
      </x:c>
      <x:c r="G11" s="14" t="str">
        <x:v>BGC Trust Medical College
Chattagram International Medical College
Chattagram Maa-O-Shishu Hospital Medical College
Institute of Applied Health Sciences
Marine City Medical College
Southern Medical College</x:v>
      </x:c>
      <x:c r="H11" s="14" t="str">
        <x:v>Army Medical College, Chattogram
Navy Medical College, Chattogram</x:v>
      </x:c>
      <x:c r="I11" s="14" t="str">
        <x:v>—</x:v>
      </x:c>
    </x:row>
    <x:row r="12">
      <x:c r="A12" s="14" t="str">
        <x:v>Chattogram</x:v>
      </x:c>
      <x:c r="B12" s="14" t="str">
        <x:v>Cox's Bazar</x:v>
      </x:c>
      <x:c r="C12" s="14" t="str">
        <x:v>—</x:v>
      </x:c>
      <x:c r="D12" s="14" t="str">
        <x:v>Cox's Bazar International University</x:v>
      </x:c>
      <x:c r="E12" s="14" t="str">
        <x:v>—</x:v>
      </x:c>
      <x:c r="F12" s="14" t="str">
        <x:v>Cox's Bazar Medical College</x:v>
      </x:c>
      <x:c r="G12" s="14" t="str">
        <x:v>—</x:v>
      </x:c>
      <x:c r="H12" s="14" t="str">
        <x:v>—</x:v>
      </x:c>
      <x:c r="I12" s="14" t="str">
        <x:v>—</x:v>
      </x:c>
    </x:row>
    <x:row r="13">
      <x:c r="A13" s="14" t="str">
        <x:v>Chattogram</x:v>
      </x:c>
      <x:c r="B13" s="14" t="str">
        <x:v>Cumilla</x:v>
      </x:c>
      <x:c r="C13" s="14" t="str">
        <x:v>Comilla University</x:v>
      </x:c>
      <x:c r="D13" s="14" t="str">
        <x:v>Bangladesh Army International University of Science and Technology
Britannia University
CCN University of Science &amp; Technology
University of Comilla</x:v>
      </x:c>
      <x:c r="E13" s="14" t="str">
        <x:v>—</x:v>
      </x:c>
      <x:c r="F13" s="14" t="str">
        <x:v>Cumilla Medical College</x:v>
      </x:c>
      <x:c r="G13" s="14" t="str">
        <x:v>Central Medical College
Eastern Medical College
Mainamoti Medical College</x:v>
      </x:c>
      <x:c r="H13" s="14" t="str">
        <x:v>Army Medical College, Cumilla</x:v>
      </x:c>
      <x:c r="I13" s="14" t="str">
        <x:v>University of Comilla: UGC list marks special/inactive status; verify before admission</x:v>
      </x:c>
    </x:row>
    <x:row r="14">
      <x:c r="A14" s="14" t="str">
        <x:v>Chattogram</x:v>
      </x:c>
      <x:c r="B14" s="14" t="str">
        <x:v>Feni</x:v>
      </x:c>
      <x:c r="C14" s="14" t="str">
        <x:v>—</x:v>
      </x:c>
      <x:c r="D14" s="14" t="str">
        <x:v>Feni University</x:v>
      </x:c>
      <x:c r="E14" s="14" t="str">
        <x:v>—</x:v>
      </x:c>
      <x:c r="F14" s="14" t="str">
        <x:v>—</x:v>
      </x:c>
      <x:c r="G14" s="14" t="str">
        <x:v>—</x:v>
      </x:c>
      <x:c r="H14" s="14" t="str">
        <x:v>—</x:v>
      </x:c>
      <x:c r="I14" s="14" t="str">
        <x:v>—</x:v>
      </x:c>
    </x:row>
    <x:row r="15">
      <x:c r="A15" s="14" t="str">
        <x:v>Chattogram</x:v>
      </x:c>
      <x:c r="B15" s="14" t="str">
        <x:v>Khagrachhari</x:v>
      </x:c>
      <x:c r="C15" s="14" t="str">
        <x:v>—</x:v>
      </x:c>
      <x:c r="D15" s="14" t="str">
        <x:v>—</x:v>
      </x:c>
      <x:c r="E15" s="14" t="str">
        <x:v>—</x:v>
      </x:c>
      <x:c r="F15" s="14" t="str">
        <x:v>—</x:v>
      </x:c>
      <x:c r="G15" s="14" t="str">
        <x:v>—</x:v>
      </x:c>
      <x:c r="H15" s="14" t="str">
        <x:v>—</x:v>
      </x:c>
      <x:c r="I15" s="14" t="str">
        <x:v>—</x:v>
      </x:c>
    </x:row>
    <x:row r="16">
      <x:c r="A16" s="14" t="str">
        <x:v>Chattogram</x:v>
      </x:c>
      <x:c r="B16" s="14" t="str">
        <x:v>Lakshmipur</x:v>
      </x:c>
      <x:c r="C16" s="14" t="str">
        <x:v>Lakshmipur Science and Technology University</x:v>
      </x:c>
      <x:c r="D16" s="14" t="str">
        <x:v>—</x:v>
      </x:c>
      <x:c r="E16" s="14" t="str">
        <x:v>—</x:v>
      </x:c>
      <x:c r="F16" s="14" t="str">
        <x:v>—</x:v>
      </x:c>
      <x:c r="G16" s="14" t="str">
        <x:v>—</x:v>
      </x:c>
      <x:c r="H16" s="14" t="str">
        <x:v>—</x:v>
      </x:c>
      <x:c r="I16" s="14" t="str">
        <x:v>—</x:v>
      </x:c>
    </x:row>
    <x:row r="17">
      <x:c r="A17" s="14" t="str">
        <x:v>Chattogram</x:v>
      </x:c>
      <x:c r="B17" s="14" t="str">
        <x:v>Noakhali</x:v>
      </x:c>
      <x:c r="C17" s="14" t="str">
        <x:v>Noakhali Science and Technology University</x:v>
      </x:c>
      <x:c r="D17" s="14" t="str">
        <x:v>—</x:v>
      </x:c>
      <x:c r="E17" s="14" t="str">
        <x:v>—</x:v>
      </x:c>
      <x:c r="F17" s="14" t="str">
        <x:v>Noakhali Medical College</x:v>
      </x:c>
      <x:c r="G17" s="14" t="str">
        <x:v>—</x:v>
      </x:c>
      <x:c r="H17" s="14" t="str">
        <x:v>—</x:v>
      </x:c>
      <x:c r="I17" s="14" t="str">
        <x:v>—</x:v>
      </x:c>
    </x:row>
    <x:row r="18">
      <x:c r="A18" s="14" t="str">
        <x:v>Chattogram</x:v>
      </x:c>
      <x:c r="B18" s="14" t="str">
        <x:v>Rangamati</x:v>
      </x:c>
      <x:c r="C18" s="14" t="str">
        <x:v>Rangamati Science and Technology University</x:v>
      </x:c>
      <x:c r="D18" s="14" t="str">
        <x:v>—</x:v>
      </x:c>
      <x:c r="E18" s="14" t="str">
        <x:v>—</x:v>
      </x:c>
      <x:c r="F18" s="14" t="str">
        <x:v>Rangamati Medical College</x:v>
      </x:c>
      <x:c r="G18" s="14" t="str">
        <x:v>—</x:v>
      </x:c>
      <x:c r="H18" s="14" t="str">
        <x:v>—</x:v>
      </x:c>
      <x:c r="I18" s="14" t="str">
        <x:v>—</x:v>
      </x:c>
    </x:row>
    <x:row r="19">
      <x:c r="A19" s="14" t="str">
        <x:v>Dhaka</x:v>
      </x:c>
      <x:c r="B19" s="14" t="str">
        <x:v>Dhaka</x:v>
      </x:c>
      <x:c r="C19" s="14" t="str">
        <x:v>Bangladesh Maritime University
Bangladesh Medical University
Bangladesh University of Engineering and Technology
Bangladesh University of Professionals
Bangladesh University of Textiles
Dhaka Central University
Islamic Arabic University
Jagannath University
Jahangirnagar University
Military Institute of Science and Technology
Sher-e-Bangla Agricultural University
University of Dhaka</x:v>
      </x:c>
      <x:c r="D19" s="14" t="str">
        <x:v>ASA University Bangladesh
Ahsanullah University of Science and Technology
America Bangladesh University
American International University-Bangladesh
Anwer Khan Modern University
Asian University of Bangladesh
Atish Dipankar University of Science and Technology
BRAC University
Bangladesh Islami University
Bangladesh University
Bangladesh University of Business and Technology
Bangladesh University of Fashion and Technology
Bangladesh University of Health Sciences
Canadian University of Bangladesh
Central University of Science and Technology
Central Women's University
City University
Daffodil International University
Dhaka International University
East West University
Eastern University
European University of Bangladesh
Fareast International University
German University Bangladesh
Gono Bishwabidyalay
Grameen University
Green University of Bangladesh
Hamdard University Bangladesh
IBAIS University
Independent University, Bangladesh
International Islami University of Science and Technology Bangladesh
International Standard University
International University of Business Agriculture and Technology
Manarat International University
Microland University of Science and Technology
North South University
Northern University Bangladesh
Notre Dame University Bangladesh
Presidency University
Prime University
Primeasia University
Royal University of Dhaka
Shanto-Mariam University of Creative Technology
Sonargaon University
Southeast University
Stamford University Bangladesh
State University of Bangladesh
Tagore University of Creative Arts
The Millennium University
The People's University of Bangladesh
United International University
University of Asia Pacific
University of Development Alternative
University of Information Technology and Sciences
University of Liberal Arts Bangladesh
University of Scholars
University of Skill Enrichment and Technology
University of South Asia
Uttara University
Victoria University of Bangladesh
World University of Bangladesh
ZNRF University of Management Sciences</x:v>
      </x:c>
      <x:c r="E19" s="14" t="str">
        <x:v>—</x:v>
      </x:c>
      <x:c r="F19" s="14" t="str">
        <x:v>Dhaka Medical College
Mugda Medical College
Shaheed Suhrawardy Medical College
Sir Salimullah Medical College</x:v>
      </x:c>
      <x:c r="G19" s="14" t="str">
        <x:v>Ad-din Women's Medical College
Ahsania Mission Medical College
Aichi Medical College
Anwer Khan Modern Medical College
Asgar Ali Medical College
Ashiyan Medical College
Bangladesh Medical College
Bashundhara Ad-din Medical College
Delta Medical College
Dhaka Central International Medical College
Dhaka Community Medical College
Dhaka National Medical College
Dr. Sirajul Islam Medical College
East West Medical College
Enam Medical College and Hospital
Gonoshasthaya Samaj Vittik Medical College
Green Life Medical College
Holy Family Red Crescent Medical College
Ibn Sina Medical College
Ibrahim Medical College
MH Samorita Medical College
Marks Medical College
Medical College for Women &amp; Hospital
Popular Medical College
Shahabuddin Medical College
Shaheed Monsur Ali Medical College
United Medical College
Universal Medical College and Hospital, Dhaka
Uttara Adhunik Medical College
Z. H. Sikder Women's Medical College</x:v>
      </x:c>
      <x:c r="H19" s="14" t="str">
        <x:v>Armed Forces Medical College</x:v>
      </x:c>
      <x:c r="I19" s="14" t="str">
        <x:v>America Bangladesh University: UGC has warned certificates/activities may have no legal validity; verify before admission
Gono Bishwabidyalay: Located at Savar, Dhaka district
IBAIS University: UGC list marks special status/irregularity; verify before admission
Microland University of Science and Technology: Academic-program status should be checked with UGC</x:v>
      </x:c>
    </x:row>
    <x:row r="20">
      <x:c r="A20" s="14" t="str">
        <x:v>Dhaka</x:v>
      </x:c>
      <x:c r="B20" s="14" t="str">
        <x:v>Faridpur</x:v>
      </x:c>
      <x:c r="C20" s="14" t="str">
        <x:v>—</x:v>
      </x:c>
      <x:c r="D20" s="14" t="str">
        <x:v>Times University Bangladesh</x:v>
      </x:c>
      <x:c r="E20" s="14" t="str">
        <x:v>—</x:v>
      </x:c>
      <x:c r="F20" s="14" t="str">
        <x:v>Faridpur Medical College</x:v>
      </x:c>
      <x:c r="G20" s="14" t="str">
        <x:v>Diabetic Association Medical College</x:v>
      </x:c>
      <x:c r="H20" s="14" t="str">
        <x:v>—</x:v>
      </x:c>
      <x:c r="I20" s="14" t="str">
        <x:v>—</x:v>
      </x:c>
    </x:row>
    <x:row r="21">
      <x:c r="A21" s="14" t="str">
        <x:v>Dhaka</x:v>
      </x:c>
      <x:c r="B21" s="14" t="str">
        <x:v>Gazipur</x:v>
      </x:c>
      <x:c r="C21" s="14" t="str">
        <x:v>Bangladesh Open University
Dhaka University of Engineering &amp; Technology
Gazipur Agricultural University
National University, Bangladesh
University of Frontier Technology, Bangladesh</x:v>
      </x:c>
      <x:c r="D21" s="14" t="str">
        <x:v>—</x:v>
      </x:c>
      <x:c r="E21" s="14" t="str">
        <x:v>Islamic University of Technology</x:v>
      </x:c>
      <x:c r="F21" s="14" t="str">
        <x:v>Shaheed Tajuddin Ahmad Medical College</x:v>
      </x:c>
      <x:c r="G21" s="14" t="str">
        <x:v>City Medical College
International Medical College
Tairunnessa Memorial Medical College</x:v>
      </x:c>
      <x:c r="H21" s="14" t="str">
        <x:v>—</x:v>
      </x:c>
      <x:c r="I21" s="14" t="str">
        <x:v>—</x:v>
      </x:c>
    </x:row>
    <x:row r="22">
      <x:c r="A22" s="14" t="str">
        <x:v>Dhaka</x:v>
      </x:c>
      <x:c r="B22" s="14" t="str">
        <x:v>Gopalganj</x:v>
      </x:c>
      <x:c r="C22" s="14" t="str">
        <x:v>Gopalganj Science and Technology University</x:v>
      </x:c>
      <x:c r="D22" s="14" t="str">
        <x:v>—</x:v>
      </x:c>
      <x:c r="E22" s="14" t="str">
        <x:v>—</x:v>
      </x:c>
      <x:c r="F22" s="14" t="str">
        <x:v>Gopalganj Medical College</x:v>
      </x:c>
      <x:c r="G22" s="14" t="str">
        <x:v>—</x:v>
      </x:c>
      <x:c r="H22" s="14" t="str">
        <x:v>—</x:v>
      </x:c>
      <x:c r="I22" s="14" t="str">
        <x:v>—</x:v>
      </x:c>
    </x:row>
    <x:row r="23">
      <x:c r="A23" s="14" t="str">
        <x:v>Dhaka</x:v>
      </x:c>
      <x:c r="B23" s="14" t="str">
        <x:v>Kishoreganj</x:v>
      </x:c>
      <x:c r="C23" s="14" t="str">
        <x:v>Kishoreganj University</x:v>
      </x:c>
      <x:c r="D23" s="14" t="str">
        <x:v>Ishakha International University, Bangladesh
Sheikh Hasina University of Science and Technology / Dr. Momtaz Begum University of Science and Technology</x:v>
      </x:c>
      <x:c r="E23" s="14" t="str">
        <x:v>—</x:v>
      </x:c>
      <x:c r="F23" s="14" t="str">
        <x:v>Shahid Syed Nazrul Islam Medical College</x:v>
      </x:c>
      <x:c r="G23" s="14" t="str">
        <x:v>Jahurul Islam Medical College
President Abdul Hamid Medical College</x:v>
      </x:c>
      <x:c r="H23" s="14" t="str">
        <x:v>—</x:v>
      </x:c>
      <x:c r="I23" s="14" t="str">
        <x:v>Sheikh Hasina University of Science and Technology / Dr. Momtaz Begum University of Science and Technology: Name/status changed; check UGC detail before admission</x:v>
      </x:c>
    </x:row>
    <x:row r="24">
      <x:c r="A24" s="14" t="str">
        <x:v>Dhaka</x:v>
      </x:c>
      <x:c r="B24" s="14" t="str">
        <x:v>Madaripur</x:v>
      </x:c>
      <x:c r="C24" s="14" t="str">
        <x:v>—</x:v>
      </x:c>
      <x:c r="D24" s="14" t="str">
        <x:v>—</x:v>
      </x:c>
      <x:c r="E24" s="14" t="str">
        <x:v>—</x:v>
      </x:c>
      <x:c r="F24" s="14" t="str">
        <x:v>—</x:v>
      </x:c>
      <x:c r="G24" s="14" t="str">
        <x:v>—</x:v>
      </x:c>
      <x:c r="H24" s="14" t="str">
        <x:v>—</x:v>
      </x:c>
      <x:c r="I24" s="14" t="str">
        <x:v>—</x:v>
      </x:c>
    </x:row>
    <x:row r="25">
      <x:c r="A25" s="14" t="str">
        <x:v>Dhaka</x:v>
      </x:c>
      <x:c r="B25" s="14" t="str">
        <x:v>Manikganj</x:v>
      </x:c>
      <x:c r="C25" s="14" t="str">
        <x:v>—</x:v>
      </x:c>
      <x:c r="D25" s="14" t="str">
        <x:v>NPI University of Bangladesh</x:v>
      </x:c>
      <x:c r="E25" s="14" t="str">
        <x:v>—</x:v>
      </x:c>
      <x:c r="F25" s="14" t="str">
        <x:v>Manikganj Medical College</x:v>
      </x:c>
      <x:c r="G25" s="14" t="str">
        <x:v>Monno Medical College</x:v>
      </x:c>
      <x:c r="H25" s="14" t="str">
        <x:v>—</x:v>
      </x:c>
      <x:c r="I25" s="14" t="str">
        <x:v>—</x:v>
      </x:c>
    </x:row>
    <x:row r="26">
      <x:c r="A26" s="14" t="str">
        <x:v>Dhaka</x:v>
      </x:c>
      <x:c r="B26" s="14" t="str">
        <x:v>Munshiganj</x:v>
      </x:c>
      <x:c r="C26" s="14" t="str">
        <x:v>—</x:v>
      </x:c>
      <x:c r="D26" s="14" t="str">
        <x:v>—</x:v>
      </x:c>
      <x:c r="E26" s="14" t="str">
        <x:v>—</x:v>
      </x:c>
      <x:c r="F26" s="14" t="str">
        <x:v>—</x:v>
      </x:c>
      <x:c r="G26" s="14" t="str">
        <x:v>Bikrampur Bhuiyan's Medical College</x:v>
      </x:c>
      <x:c r="H26" s="14" t="str">
        <x:v>—</x:v>
      </x:c>
      <x:c r="I26" s="14" t="str">
        <x:v>—</x:v>
      </x:c>
    </x:row>
    <x:row r="27">
      <x:c r="A27" s="14" t="str">
        <x:v>Dhaka</x:v>
      </x:c>
      <x:c r="B27" s="14" t="str">
        <x:v>Narayanganj</x:v>
      </x:c>
      <x:c r="C27" s="14" t="str">
        <x:v>Narayanganj Science and Technology University</x:v>
      </x:c>
      <x:c r="D27" s="14" t="str">
        <x:v>Ranada Prasad Shaha University
Rupayan A.K.M Shamsuzzoha University</x:v>
      </x:c>
      <x:c r="E27" s="14" t="str">
        <x:v>—</x:v>
      </x:c>
      <x:c r="F27" s="14" t="str">
        <x:v>—</x:v>
      </x:c>
      <x:c r="G27" s="14" t="str">
        <x:v>US-Bangla Medical College</x:v>
      </x:c>
      <x:c r="H27" s="14" t="str">
        <x:v>—</x:v>
      </x:c>
      <x:c r="I27" s="14" t="str">
        <x:v>Rupayan A.K.M Shamsuzzoha University: UGC detail exists; status should be checked before admission</x:v>
      </x:c>
    </x:row>
    <x:row r="28">
      <x:c r="A28" s="14" t="str">
        <x:v>Dhaka</x:v>
      </x:c>
      <x:c r="B28" s="14" t="str">
        <x:v>Narsingdi</x:v>
      </x:c>
      <x:c r="C28" s="14" t="str">
        <x:v>—</x:v>
      </x:c>
      <x:c r="D28" s="14" t="str">
        <x:v>—</x:v>
      </x:c>
      <x:c r="E28" s="14" t="str">
        <x:v>—</x:v>
      </x:c>
      <x:c r="F28" s="14" t="str">
        <x:v>—</x:v>
      </x:c>
      <x:c r="G28" s="14" t="str">
        <x:v>—</x:v>
      </x:c>
      <x:c r="H28" s="14" t="str">
        <x:v>—</x:v>
      </x:c>
      <x:c r="I28" s="14" t="str">
        <x:v>—</x:v>
      </x:c>
    </x:row>
    <x:row r="29">
      <x:c r="A29" s="14" t="str">
        <x:v>Dhaka</x:v>
      </x:c>
      <x:c r="B29" s="14" t="str">
        <x:v>Rajbari</x:v>
      </x:c>
      <x:c r="C29" s="14" t="str">
        <x:v>—</x:v>
      </x:c>
      <x:c r="D29" s="14" t="str">
        <x:v>—</x:v>
      </x:c>
      <x:c r="E29" s="14" t="str">
        <x:v>—</x:v>
      </x:c>
      <x:c r="F29" s="14" t="str">
        <x:v>—</x:v>
      </x:c>
      <x:c r="G29" s="14" t="str">
        <x:v>—</x:v>
      </x:c>
      <x:c r="H29" s="14" t="str">
        <x:v>—</x:v>
      </x:c>
      <x:c r="I29" s="14" t="str">
        <x:v>—</x:v>
      </x:c>
    </x:row>
    <x:row r="30">
      <x:c r="A30" s="14" t="str">
        <x:v>Dhaka</x:v>
      </x:c>
      <x:c r="B30" s="14" t="str">
        <x:v>Shariatpur</x:v>
      </x:c>
      <x:c r="C30" s="14" t="str">
        <x:v>Shariatpur Agriculture University</x:v>
      </x:c>
      <x:c r="D30" s="14" t="str">
        <x:v>—</x:v>
      </x:c>
      <x:c r="E30" s="14" t="str">
        <x:v>—</x:v>
      </x:c>
      <x:c r="F30" s="14" t="str">
        <x:v>—</x:v>
      </x:c>
      <x:c r="G30" s="14" t="str">
        <x:v>Monowara Sikder Medical College</x:v>
      </x:c>
      <x:c r="H30" s="14" t="str">
        <x:v>—</x:v>
      </x:c>
      <x:c r="I30" s="14" t="str">
        <x:v>—</x:v>
      </x:c>
    </x:row>
    <x:row r="31">
      <x:c r="A31" s="14" t="str">
        <x:v>Dhaka</x:v>
      </x:c>
      <x:c r="B31" s="14" t="str">
        <x:v>Tangail</x:v>
      </x:c>
      <x:c r="C31" s="14" t="str">
        <x:v>Mawlana Bhashani Science and Technology University</x:v>
      </x:c>
      <x:c r="D31" s="14" t="str">
        <x:v>—</x:v>
      </x:c>
      <x:c r="E31" s="14" t="str">
        <x:v>—</x:v>
      </x:c>
      <x:c r="F31" s="14" t="str">
        <x:v>Tangail Medical College</x:v>
      </x:c>
      <x:c r="G31" s="14" t="str">
        <x:v>Kumudini Women's Medical College</x:v>
      </x:c>
      <x:c r="H31" s="14" t="str">
        <x:v>—</x:v>
      </x:c>
      <x:c r="I31" s="14" t="str">
        <x:v>—</x:v>
      </x:c>
    </x:row>
    <x:row r="32">
      <x:c r="A32" s="14" t="str">
        <x:v>Khulna</x:v>
      </x:c>
      <x:c r="B32" s="14" t="str">
        <x:v>Bagerhat</x:v>
      </x:c>
      <x:c r="C32" s="14" t="str">
        <x:v>—</x:v>
      </x:c>
      <x:c r="D32" s="14" t="str">
        <x:v>—</x:v>
      </x:c>
      <x:c r="E32" s="14" t="str">
        <x:v>—</x:v>
      </x:c>
      <x:c r="F32" s="14" t="str">
        <x:v>—</x:v>
      </x:c>
      <x:c r="G32" s="14" t="str">
        <x:v>—</x:v>
      </x:c>
      <x:c r="H32" s="14" t="str">
        <x:v>—</x:v>
      </x:c>
      <x:c r="I32" s="14" t="str">
        <x:v>—</x:v>
      </x:c>
    </x:row>
    <x:row r="33">
      <x:c r="A33" s="14" t="str">
        <x:v>Khulna</x:v>
      </x:c>
      <x:c r="B33" s="14" t="str">
        <x:v>Chuadanga</x:v>
      </x:c>
      <x:c r="C33" s="14" t="str">
        <x:v>—</x:v>
      </x:c>
      <x:c r="D33" s="14" t="str">
        <x:v>First Capital University of Bangladesh</x:v>
      </x:c>
      <x:c r="E33" s="14" t="str">
        <x:v>—</x:v>
      </x:c>
      <x:c r="F33" s="14" t="str">
        <x:v>—</x:v>
      </x:c>
      <x:c r="G33" s="14" t="str">
        <x:v>—</x:v>
      </x:c>
      <x:c r="H33" s="14" t="str">
        <x:v>—</x:v>
      </x:c>
      <x:c r="I33" s="14" t="str">
        <x:v>—</x:v>
      </x:c>
    </x:row>
    <x:row r="34">
      <x:c r="A34" s="14" t="str">
        <x:v>Khulna</x:v>
      </x:c>
      <x:c r="B34" s="14" t="str">
        <x:v>Jashore</x:v>
      </x:c>
      <x:c r="C34" s="14" t="str">
        <x:v>Jashore University of Science and Technology</x:v>
      </x:c>
      <x:c r="D34" s="14" t="str">
        <x:v>—</x:v>
      </x:c>
      <x:c r="E34" s="14" t="str">
        <x:v>—</x:v>
      </x:c>
      <x:c r="F34" s="14" t="str">
        <x:v>Jashore Medical College</x:v>
      </x:c>
      <x:c r="G34" s="14" t="str">
        <x:v>Ad-din Sakina Medical College</x:v>
      </x:c>
      <x:c r="H34" s="14" t="str">
        <x:v>Army Medical College, Jashore</x:v>
      </x:c>
      <x:c r="I34" s="14" t="str">
        <x:v>—</x:v>
      </x:c>
    </x:row>
    <x:row r="35">
      <x:c r="A35" s="14" t="str">
        <x:v>Khulna</x:v>
      </x:c>
      <x:c r="B35" s="14" t="str">
        <x:v>Jhenaidah</x:v>
      </x:c>
      <x:c r="C35" s="14" t="str">
        <x:v>—</x:v>
      </x:c>
      <x:c r="D35" s="14" t="str">
        <x:v>—</x:v>
      </x:c>
      <x:c r="E35" s="14" t="str">
        <x:v>—</x:v>
      </x:c>
      <x:c r="F35" s="14" t="str">
        <x:v>—</x:v>
      </x:c>
      <x:c r="G35" s="14" t="str">
        <x:v>—</x:v>
      </x:c>
      <x:c r="H35" s="14" t="str">
        <x:v>—</x:v>
      </x:c>
      <x:c r="I35" s="14" t="str">
        <x:v>—</x:v>
      </x:c>
    </x:row>
    <x:row r="36">
      <x:c r="A36" s="14" t="str">
        <x:v>Khulna</x:v>
      </x:c>
      <x:c r="B36" s="14" t="str">
        <x:v>Khulna</x:v>
      </x:c>
      <x:c r="C36" s="14" t="str">
        <x:v>Khulna Agricultural University
Khulna Medical University
Khulna University
Khulna University of Engineering &amp; Technology</x:v>
      </x:c>
      <x:c r="D36" s="14" t="str">
        <x:v>Bangladesh Army University of Science and Technology, Khulna
Khulna Khan Bahadur Ahsanullah University
North Western University
Northern University of Business and Technology Khulna</x:v>
      </x:c>
      <x:c r="E36" s="14" t="str">
        <x:v>—</x:v>
      </x:c>
      <x:c r="F36" s="14" t="str">
        <x:v>Khulna Medical College</x:v>
      </x:c>
      <x:c r="G36" s="14" t="str">
        <x:v>Ad-Din Akij Medical College
Gazi Medical College
Khulna City Medical College</x:v>
      </x:c>
      <x:c r="H36" s="14" t="str">
        <x:v>—</x:v>
      </x:c>
      <x:c r="I36" s="14" t="str">
        <x:v>—</x:v>
      </x:c>
    </x:row>
    <x:row r="37">
      <x:c r="A37" s="14" t="str">
        <x:v>Khulna</x:v>
      </x:c>
      <x:c r="B37" s="14" t="str">
        <x:v>Kushtia</x:v>
      </x:c>
      <x:c r="C37" s="14" t="str">
        <x:v>Islamic University, Bangladesh</x:v>
      </x:c>
      <x:c r="D37" s="14" t="str">
        <x:v>Justice Abu Zafar Siddiquie Science and Technology University, Kustia
Lalon University of Science and Arts
Rabindra Maitree University</x:v>
      </x:c>
      <x:c r="E37" s="14" t="str">
        <x:v>—</x:v>
      </x:c>
      <x:c r="F37" s="14" t="str">
        <x:v>Kushtia Medical College</x:v>
      </x:c>
      <x:c r="G37" s="14" t="str">
        <x:v>—</x:v>
      </x:c>
      <x:c r="H37" s="14" t="str">
        <x:v>—</x:v>
      </x:c>
      <x:c r="I37" s="14" t="str">
        <x:v>Islamic University, Bangladesh: Campus area is commonly described as Kushtia-Jhenaidah
Justice Abu Zafar Siddiquie Science and Technology University, Kustia: UGC search result notes academic-program status should be checked</x:v>
      </x:c>
    </x:row>
    <x:row r="38">
      <x:c r="A38" s="14" t="str">
        <x:v>Khulna</x:v>
      </x:c>
      <x:c r="B38" s="14" t="str">
        <x:v>Magura</x:v>
      </x:c>
      <x:c r="C38" s="14" t="str">
        <x:v>—</x:v>
      </x:c>
      <x:c r="D38" s="14" t="str">
        <x:v>—</x:v>
      </x:c>
      <x:c r="E38" s="14" t="str">
        <x:v>—</x:v>
      </x:c>
      <x:c r="F38" s="14" t="str">
        <x:v>Magura Medical College</x:v>
      </x:c>
      <x:c r="G38" s="14" t="str">
        <x:v>—</x:v>
      </x:c>
      <x:c r="H38" s="14" t="str">
        <x:v>—</x:v>
      </x:c>
      <x:c r="I38" s="14" t="str">
        <x:v>—</x:v>
      </x:c>
    </x:row>
    <x:row r="39">
      <x:c r="A39" s="14" t="str">
        <x:v>Khulna</x:v>
      </x:c>
      <x:c r="B39" s="14" t="str">
        <x:v>Meherpur</x:v>
      </x:c>
      <x:c r="C39" s="14" t="str">
        <x:v>Mujibnagar University, Meherpur</x:v>
      </x:c>
      <x:c r="D39" s="14" t="str">
        <x:v>—</x:v>
      </x:c>
      <x:c r="E39" s="14" t="str">
        <x:v>—</x:v>
      </x:c>
      <x:c r="F39" s="14" t="str">
        <x:v>—</x:v>
      </x:c>
      <x:c r="G39" s="14" t="str">
        <x:v>—</x:v>
      </x:c>
      <x:c r="H39" s="14" t="str">
        <x:v>—</x:v>
      </x:c>
      <x:c r="I39" s="14" t="str">
        <x:v>—</x:v>
      </x:c>
    </x:row>
    <x:row r="40">
      <x:c r="A40" s="14" t="str">
        <x:v>Khulna</x:v>
      </x:c>
      <x:c r="B40" s="14" t="str">
        <x:v>Narail</x:v>
      </x:c>
      <x:c r="C40" s="14" t="str">
        <x:v>—</x:v>
      </x:c>
      <x:c r="D40" s="14" t="str">
        <x:v>—</x:v>
      </x:c>
      <x:c r="E40" s="14" t="str">
        <x:v>—</x:v>
      </x:c>
      <x:c r="F40" s="14" t="str">
        <x:v>—</x:v>
      </x:c>
      <x:c r="G40" s="14" t="str">
        <x:v>—</x:v>
      </x:c>
      <x:c r="H40" s="14" t="str">
        <x:v>—</x:v>
      </x:c>
      <x:c r="I40" s="14" t="str">
        <x:v>—</x:v>
      </x:c>
    </x:row>
    <x:row r="41">
      <x:c r="A41" s="14" t="str">
        <x:v>Khulna</x:v>
      </x:c>
      <x:c r="B41" s="14" t="str">
        <x:v>Satkhira</x:v>
      </x:c>
      <x:c r="C41" s="14" t="str">
        <x:v>Satkhira University of Science and Technology</x:v>
      </x:c>
      <x:c r="D41" s="14" t="str">
        <x:v>—</x:v>
      </x:c>
      <x:c r="E41" s="14" t="str">
        <x:v>—</x:v>
      </x:c>
      <x:c r="F41" s="14" t="str">
        <x:v>Satkhira Medical College</x:v>
      </x:c>
      <x:c r="G41" s="14" t="str">
        <x:v>—</x:v>
      </x:c>
      <x:c r="H41" s="14" t="str">
        <x:v>—</x:v>
      </x:c>
      <x:c r="I41" s="14" t="str">
        <x:v>—</x:v>
      </x:c>
    </x:row>
    <x:row r="42">
      <x:c r="A42" s="14" t="str">
        <x:v>Mymensingh</x:v>
      </x:c>
      <x:c r="B42" s="14" t="str">
        <x:v>Jamalpur</x:v>
      </x:c>
      <x:c r="C42" s="14" t="str">
        <x:v>Jamalpur Science and Technology University</x:v>
      </x:c>
      <x:c r="D42" s="14" t="str">
        <x:v>—</x:v>
      </x:c>
      <x:c r="E42" s="14" t="str">
        <x:v>—</x:v>
      </x:c>
      <x:c r="F42" s="14" t="str">
        <x:v>Jamalpur Medical College</x:v>
      </x:c>
      <x:c r="G42" s="14" t="str">
        <x:v>—</x:v>
      </x:c>
      <x:c r="H42" s="14" t="str">
        <x:v>—</x:v>
      </x:c>
      <x:c r="I42" s="14" t="str">
        <x:v>—</x:v>
      </x:c>
    </x:row>
    <x:row r="43">
      <x:c r="A43" s="14" t="str">
        <x:v>Mymensingh</x:v>
      </x:c>
      <x:c r="B43" s="14" t="str">
        <x:v>Mymensingh</x:v>
      </x:c>
      <x:c r="C43" s="14" t="str">
        <x:v>Bangladesh Agricultural University
Jatiya Kabi Kazi Nazrul Islam University</x:v>
      </x:c>
      <x:c r="D43" s="14" t="str">
        <x:v>—</x:v>
      </x:c>
      <x:c r="E43" s="14" t="str">
        <x:v>—</x:v>
      </x:c>
      <x:c r="F43" s="14" t="str">
        <x:v>Mymensingh Medical College</x:v>
      </x:c>
      <x:c r="G43" s="14" t="str">
        <x:v>Community Based Medical College</x:v>
      </x:c>
      <x:c r="H43" s="14" t="str">
        <x:v>—</x:v>
      </x:c>
      <x:c r="I43" s="14" t="str">
        <x:v>—</x:v>
      </x:c>
    </x:row>
    <x:row r="44">
      <x:c r="A44" s="14" t="str">
        <x:v>Mymensingh</x:v>
      </x:c>
      <x:c r="B44" s="14" t="str">
        <x:v>Netrokona</x:v>
      </x:c>
      <x:c r="C44" s="14" t="str">
        <x:v>Netrokona University</x:v>
      </x:c>
      <x:c r="D44" s="14" t="str">
        <x:v>—</x:v>
      </x:c>
      <x:c r="E44" s="14" t="str">
        <x:v>—</x:v>
      </x:c>
      <x:c r="F44" s="14" t="str">
        <x:v>Netrokona Medical College</x:v>
      </x:c>
      <x:c r="G44" s="14" t="str">
        <x:v>—</x:v>
      </x:c>
      <x:c r="H44" s="14" t="str">
        <x:v>—</x:v>
      </x:c>
      <x:c r="I44" s="14" t="str">
        <x:v>—</x:v>
      </x:c>
    </x:row>
    <x:row r="45">
      <x:c r="A45" s="14" t="str">
        <x:v>Mymensingh</x:v>
      </x:c>
      <x:c r="B45" s="14" t="str">
        <x:v>Sherpur</x:v>
      </x:c>
      <x:c r="C45" s="14" t="str">
        <x:v>—</x:v>
      </x:c>
      <x:c r="D45" s="14" t="str">
        <x:v>—</x:v>
      </x:c>
      <x:c r="E45" s="14" t="str">
        <x:v>—</x:v>
      </x:c>
      <x:c r="F45" s="14" t="str">
        <x:v>—</x:v>
      </x:c>
      <x:c r="G45" s="14" t="str">
        <x:v>—</x:v>
      </x:c>
      <x:c r="H45" s="14" t="str">
        <x:v>—</x:v>
      </x:c>
      <x:c r="I45" s="14" t="str">
        <x:v>—</x:v>
      </x:c>
    </x:row>
    <x:row r="46">
      <x:c r="A46" s="14" t="str">
        <x:v>Rajshahi</x:v>
      </x:c>
      <x:c r="B46" s="14" t="str">
        <x:v>Bogura</x:v>
      </x:c>
      <x:c r="C46" s="14" t="str">
        <x:v>Bogura Science and Technology University</x:v>
      </x:c>
      <x:c r="D46" s="14" t="str">
        <x:v>Pundra University of Science and Technology</x:v>
      </x:c>
      <x:c r="E46" s="14" t="str">
        <x:v>—</x:v>
      </x:c>
      <x:c r="F46" s="14" t="str">
        <x:v>Shaheed Ziaur Rahman Medical College</x:v>
      </x:c>
      <x:c r="G46" s="14" t="str">
        <x:v>TMSS Medical College</x:v>
      </x:c>
      <x:c r="H46" s="14" t="str">
        <x:v>Army Medical College, Bogura</x:v>
      </x:c>
      <x:c r="I46" s="14" t="str">
        <x:v>—</x:v>
      </x:c>
    </x:row>
    <x:row r="47">
      <x:c r="A47" s="14" t="str">
        <x:v>Rajshahi</x:v>
      </x:c>
      <x:c r="B47" s="14" t="str">
        <x:v>Chapainawabganj</x:v>
      </x:c>
      <x:c r="C47" s="14" t="str">
        <x:v>—</x:v>
      </x:c>
      <x:c r="D47" s="14" t="str">
        <x:v>Exim Bank Agricultural University Bangladesh</x:v>
      </x:c>
      <x:c r="E47" s="14" t="str">
        <x:v>—</x:v>
      </x:c>
      <x:c r="F47" s="14" t="str">
        <x:v>—</x:v>
      </x:c>
      <x:c r="G47" s="14" t="str">
        <x:v>—</x:v>
      </x:c>
      <x:c r="H47" s="14" t="str">
        <x:v>—</x:v>
      </x:c>
      <x:c r="I47" s="14" t="str">
        <x:v>—</x:v>
      </x:c>
    </x:row>
    <x:row r="48">
      <x:c r="A48" s="14" t="str">
        <x:v>Rajshahi</x:v>
      </x:c>
      <x:c r="B48" s="14" t="str">
        <x:v>Joypurhat</x:v>
      </x:c>
      <x:c r="C48" s="14" t="str">
        <x:v>—</x:v>
      </x:c>
      <x:c r="D48" s="14" t="str">
        <x:v>—</x:v>
      </x:c>
      <x:c r="E48" s="14" t="str">
        <x:v>—</x:v>
      </x:c>
      <x:c r="F48" s="14" t="str">
        <x:v>—</x:v>
      </x:c>
      <x:c r="G48" s="14" t="str">
        <x:v>—</x:v>
      </x:c>
      <x:c r="H48" s="14" t="str">
        <x:v>—</x:v>
      </x:c>
      <x:c r="I48" s="14" t="str">
        <x:v>—</x:v>
      </x:c>
    </x:row>
    <x:row r="49">
      <x:c r="A49" s="14" t="str">
        <x:v>Rajshahi</x:v>
      </x:c>
      <x:c r="B49" s="14" t="str">
        <x:v>Naogaon</x:v>
      </x:c>
      <x:c r="C49" s="14" t="str">
        <x:v>—</x:v>
      </x:c>
      <x:c r="D49" s="14" t="str">
        <x:v>—</x:v>
      </x:c>
      <x:c r="E49" s="14" t="str">
        <x:v>—</x:v>
      </x:c>
      <x:c r="F49" s="14" t="str">
        <x:v>Naogaon Medical College</x:v>
      </x:c>
      <x:c r="G49" s="14" t="str">
        <x:v>—</x:v>
      </x:c>
      <x:c r="H49" s="14" t="str">
        <x:v>—</x:v>
      </x:c>
      <x:c r="I49" s="14" t="str">
        <x:v>—</x:v>
      </x:c>
    </x:row>
    <x:row r="50">
      <x:c r="A50" s="14" t="str">
        <x:v>Rajshahi</x:v>
      </x:c>
      <x:c r="B50" s="14" t="str">
        <x:v>Natore</x:v>
      </x:c>
      <x:c r="C50" s="14" t="str">
        <x:v>—</x:v>
      </x:c>
      <x:c r="D50" s="14" t="str">
        <x:v>Bangladesh Army University of Engineering &amp; Technology
Rajshahi Science &amp; Technology University</x:v>
      </x:c>
      <x:c r="E50" s="14" t="str">
        <x:v>—</x:v>
      </x:c>
      <x:c r="F50" s="14" t="str">
        <x:v>—</x:v>
      </x:c>
      <x:c r="G50" s="14" t="str">
        <x:v>—</x:v>
      </x:c>
      <x:c r="H50" s="14" t="str">
        <x:v>—</x:v>
      </x:c>
      <x:c r="I50" s="14" t="str">
        <x:v>—</x:v>
      </x:c>
    </x:row>
    <x:row r="51">
      <x:c r="A51" s="14" t="str">
        <x:v>Rajshahi</x:v>
      </x:c>
      <x:c r="B51" s="14" t="str">
        <x:v>Pabna</x:v>
      </x:c>
      <x:c r="C51" s="14" t="str">
        <x:v>Pabna University of Science and Technology</x:v>
      </x:c>
      <x:c r="D51" s="14" t="str">
        <x:v>—</x:v>
      </x:c>
      <x:c r="E51" s="14" t="str">
        <x:v>—</x:v>
      </x:c>
      <x:c r="F51" s="14" t="str">
        <x:v>Pabna Medical College</x:v>
      </x:c>
      <x:c r="G51" s="14" t="str">
        <x:v>—</x:v>
      </x:c>
      <x:c r="H51" s="14" t="str">
        <x:v>—</x:v>
      </x:c>
      <x:c r="I51" s="14" t="str">
        <x:v>—</x:v>
      </x:c>
    </x:row>
    <x:row r="52">
      <x:c r="A52" s="14" t="str">
        <x:v>Rajshahi</x:v>
      </x:c>
      <x:c r="B52" s="14" t="str">
        <x:v>Rajshahi</x:v>
      </x:c>
      <x:c r="C52" s="14" t="str">
        <x:v>Rajshahi Medical University
Rajshahi University of Engineering &amp; Technology
University of Rajshahi</x:v>
      </x:c>
      <x:c r="D52" s="14" t="str">
        <x:v>Ahsania Mission University of Science and Technology
North Bengal International University
Shah Makhdum Management University, Rajshahi
Varendra University</x:v>
      </x:c>
      <x:c r="E52" s="14" t="str">
        <x:v>—</x:v>
      </x:c>
      <x:c r="F52" s="14" t="str">
        <x:v>Rajshahi Medical College</x:v>
      </x:c>
      <x:c r="G52" s="14" t="str">
        <x:v>Barind Medical College
Islami Bank Medical College</x:v>
      </x:c>
      <x:c r="H52" s="14" t="str">
        <x:v>—</x:v>
      </x:c>
      <x:c r="I52" s="14" t="str">
        <x:v>Shah Makhdum Management University, Rajshahi: UGC/press reports noted delayed academic activity; verify before admission</x:v>
      </x:c>
    </x:row>
    <x:row r="53">
      <x:c r="A53" s="14" t="str">
        <x:v>Rajshahi</x:v>
      </x:c>
      <x:c r="B53" s="14" t="str">
        <x:v>Sirajganj</x:v>
      </x:c>
      <x:c r="C53" s="14" t="str">
        <x:v>Rabindra University, Bangladesh</x:v>
      </x:c>
      <x:c r="D53" s="14" t="str">
        <x:v>Khwaja Yunus Ali University</x:v>
      </x:c>
      <x:c r="E53" s="14" t="str">
        <x:v>—</x:v>
      </x:c>
      <x:c r="F53" s="14" t="str">
        <x:v>Sirajganj Medical College</x:v>
      </x:c>
      <x:c r="G53" s="14" t="str">
        <x:v>Khwaja Yunus Ali Medical College
North Bengal Medical College</x:v>
      </x:c>
      <x:c r="H53" s="14" t="str">
        <x:v>—</x:v>
      </x:c>
      <x:c r="I53" s="14" t="str">
        <x:v>—</x:v>
      </x:c>
    </x:row>
    <x:row r="54">
      <x:c r="A54" s="14" t="str">
        <x:v>Rangpur</x:v>
      </x:c>
      <x:c r="B54" s="14" t="str">
        <x:v>Dinajpur</x:v>
      </x:c>
      <x:c r="C54" s="14" t="str">
        <x:v>Hajee Mohammad Danesh Science and Technology University</x:v>
      </x:c>
      <x:c r="D54" s="14" t="str">
        <x:v>—</x:v>
      </x:c>
      <x:c r="E54" s="14" t="str">
        <x:v>—</x:v>
      </x:c>
      <x:c r="F54" s="14" t="str">
        <x:v>M Abdur Rahim Medical College, Dinajpur</x:v>
      </x:c>
      <x:c r="G54" s="14" t="str">
        <x:v>—</x:v>
      </x:c>
      <x:c r="H54" s="14" t="str">
        <x:v>—</x:v>
      </x:c>
      <x:c r="I54" s="14" t="str">
        <x:v>—</x:v>
      </x:c>
    </x:row>
    <x:row r="55">
      <x:c r="A55" s="14" t="str">
        <x:v>Rangpur</x:v>
      </x:c>
      <x:c r="B55" s="14" t="str">
        <x:v>Gaibandha</x:v>
      </x:c>
      <x:c r="C55" s="14" t="str">
        <x:v>—</x:v>
      </x:c>
      <x:c r="D55" s="14" t="str">
        <x:v>—</x:v>
      </x:c>
      <x:c r="E55" s="14" t="str">
        <x:v>—</x:v>
      </x:c>
      <x:c r="F55" s="14" t="str">
        <x:v>—</x:v>
      </x:c>
      <x:c r="G55" s="14" t="str">
        <x:v>—</x:v>
      </x:c>
      <x:c r="H55" s="14" t="str">
        <x:v>—</x:v>
      </x:c>
      <x:c r="I55" s="14" t="str">
        <x:v>—</x:v>
      </x:c>
    </x:row>
    <x:row r="56">
      <x:c r="A56" s="14" t="str">
        <x:v>Rangpur</x:v>
      </x:c>
      <x:c r="B56" s="14" t="str">
        <x:v>Kurigram</x:v>
      </x:c>
      <x:c r="C56" s="14" t="str">
        <x:v>Kurigram Agricultural University</x:v>
      </x:c>
      <x:c r="D56" s="14" t="str">
        <x:v>—</x:v>
      </x:c>
      <x:c r="E56" s="14" t="str">
        <x:v>—</x:v>
      </x:c>
      <x:c r="F56" s="14" t="str">
        <x:v>—</x:v>
      </x:c>
      <x:c r="G56" s="14" t="str">
        <x:v>—</x:v>
      </x:c>
      <x:c r="H56" s="14" t="str">
        <x:v>—</x:v>
      </x:c>
      <x:c r="I56" s="14" t="str">
        <x:v>—</x:v>
      </x:c>
    </x:row>
    <x:row r="57">
      <x:c r="A57" s="14" t="str">
        <x:v>Rangpur</x:v>
      </x:c>
      <x:c r="B57" s="14" t="str">
        <x:v>Lalmonirhat</x:v>
      </x:c>
      <x:c r="C57" s="14" t="str">
        <x:v>Bangladesh Aviation and Aerospace University</x:v>
      </x:c>
      <x:c r="D57" s="14" t="str">
        <x:v>—</x:v>
      </x:c>
      <x:c r="E57" s="14" t="str">
        <x:v>—</x:v>
      </x:c>
      <x:c r="F57" s="14" t="str">
        <x:v>—</x:v>
      </x:c>
      <x:c r="G57" s="14" t="str">
        <x:v>—</x:v>
      </x:c>
      <x:c r="H57" s="14" t="str">
        <x:v>—</x:v>
      </x:c>
      <x:c r="I57" s="14" t="str">
        <x:v>—</x:v>
      </x:c>
    </x:row>
    <x:row r="58">
      <x:c r="A58" s="14" t="str">
        <x:v>Rangpur</x:v>
      </x:c>
      <x:c r="B58" s="14" t="str">
        <x:v>Nilphamari</x:v>
      </x:c>
      <x:c r="C58" s="14" t="str">
        <x:v>—</x:v>
      </x:c>
      <x:c r="D58" s="14" t="str">
        <x:v>Bangladesh Army University of Science and Technology, Saidpur</x:v>
      </x:c>
      <x:c r="E58" s="14" t="str">
        <x:v>—</x:v>
      </x:c>
      <x:c r="F58" s="14" t="str">
        <x:v>Nilphamari Medical College</x:v>
      </x:c>
      <x:c r="G58" s="14" t="str">
        <x:v>—</x:v>
      </x:c>
      <x:c r="H58" s="14" t="str">
        <x:v>—</x:v>
      </x:c>
      <x:c r="I58" s="14" t="str">
        <x:v>—</x:v>
      </x:c>
    </x:row>
    <x:row r="59">
      <x:c r="A59" s="14" t="str">
        <x:v>Rangpur</x:v>
      </x:c>
      <x:c r="B59" s="14" t="str">
        <x:v>Panchagarh</x:v>
      </x:c>
      <x:c r="C59" s="14" t="str">
        <x:v>—</x:v>
      </x:c>
      <x:c r="D59" s="14" t="str">
        <x:v>—</x:v>
      </x:c>
      <x:c r="E59" s="14" t="str">
        <x:v>—</x:v>
      </x:c>
      <x:c r="F59" s="14" t="str">
        <x:v>—</x:v>
      </x:c>
      <x:c r="G59" s="14" t="str">
        <x:v>—</x:v>
      </x:c>
      <x:c r="H59" s="14" t="str">
        <x:v>—</x:v>
      </x:c>
      <x:c r="I59" s="14" t="str">
        <x:v>—</x:v>
      </x:c>
    </x:row>
    <x:row r="60">
      <x:c r="A60" s="14" t="str">
        <x:v>Rangpur</x:v>
      </x:c>
      <x:c r="B60" s="14" t="str">
        <x:v>Rangpur</x:v>
      </x:c>
      <x:c r="C60" s="14" t="str">
        <x:v>Begum Rokeya University, Rangpur</x:v>
      </x:c>
      <x:c r="D60" s="14" t="str">
        <x:v>Teesta University, Rangpur</x:v>
      </x:c>
      <x:c r="E60" s="14" t="str">
        <x:v>—</x:v>
      </x:c>
      <x:c r="F60" s="14" t="str">
        <x:v>Rangpur Medical College</x:v>
      </x:c>
      <x:c r="G60" s="14" t="str">
        <x:v>Prime Medical College
Rangpur Community Medical College</x:v>
      </x:c>
      <x:c r="H60" s="14" t="str">
        <x:v>Army Medical College, Rangpur</x:v>
      </x:c>
      <x:c r="I60" s="14" t="str">
        <x:v>—</x:v>
      </x:c>
    </x:row>
    <x:row r="61">
      <x:c r="A61" s="14" t="str">
        <x:v>Rangpur</x:v>
      </x:c>
      <x:c r="B61" s="14" t="str">
        <x:v>Thakurgaon</x:v>
      </x:c>
      <x:c r="C61" s="14" t="str">
        <x:v>Thakurgaon University</x:v>
      </x:c>
      <x:c r="D61" s="14" t="str">
        <x:v>—</x:v>
      </x:c>
      <x:c r="E61" s="14" t="str">
        <x:v>—</x:v>
      </x:c>
      <x:c r="F61" s="14" t="str">
        <x:v>—</x:v>
      </x:c>
      <x:c r="G61" s="14" t="str">
        <x:v>—</x:v>
      </x:c>
      <x:c r="H61" s="14" t="str">
        <x:v>—</x:v>
      </x:c>
      <x:c r="I61" s="14" t="str">
        <x:v>Thakurgaon Medical College</x:v>
      </x:c>
    </x:row>
    <x:row r="62">
      <x:c r="A62" s="14" t="str">
        <x:v>Sylhet</x:v>
      </x:c>
      <x:c r="B62" s="14" t="str">
        <x:v>Habiganj</x:v>
      </x:c>
      <x:c r="C62" s="14" t="str">
        <x:v>Habiganj Agricultural University</x:v>
      </x:c>
      <x:c r="D62" s="14" t="str">
        <x:v>—</x:v>
      </x:c>
      <x:c r="E62" s="14" t="str">
        <x:v>—</x:v>
      </x:c>
      <x:c r="F62" s="14" t="str">
        <x:v>Habiganj Medical College</x:v>
      </x:c>
      <x:c r="G62" s="14" t="str">
        <x:v>—</x:v>
      </x:c>
      <x:c r="H62" s="14" t="str">
        <x:v>—</x:v>
      </x:c>
      <x:c r="I62" s="14" t="str">
        <x:v>—</x:v>
      </x:c>
    </x:row>
    <x:row r="63">
      <x:c r="A63" s="14" t="str">
        <x:v>Sylhet</x:v>
      </x:c>
      <x:c r="B63" s="14" t="str">
        <x:v>Moulvibazar</x:v>
      </x:c>
      <x:c r="C63" s="14" t="str">
        <x:v>—</x:v>
      </x:c>
      <x:c r="D63" s="14" t="str">
        <x:v>—</x:v>
      </x:c>
      <x:c r="E63" s="14" t="str">
        <x:v>—</x:v>
      </x:c>
      <x:c r="F63" s="14" t="str">
        <x:v>—</x:v>
      </x:c>
      <x:c r="G63" s="14" t="str">
        <x:v>—</x:v>
      </x:c>
      <x:c r="H63" s="14" t="str">
        <x:v>—</x:v>
      </x:c>
      <x:c r="I63" s="14" t="str">
        <x:v>—</x:v>
      </x:c>
    </x:row>
    <x:row r="64">
      <x:c r="A64" s="14" t="str">
        <x:v>Sylhet</x:v>
      </x:c>
      <x:c r="B64" s="14" t="str">
        <x:v>Sunamganj</x:v>
      </x:c>
      <x:c r="C64" s="14" t="str">
        <x:v>Sunamganj Science and Technology University</x:v>
      </x:c>
      <x:c r="D64" s="14" t="str">
        <x:v>—</x:v>
      </x:c>
      <x:c r="E64" s="14" t="str">
        <x:v>—</x:v>
      </x:c>
      <x:c r="F64" s="14" t="str">
        <x:v>Sunamganj Medical College</x:v>
      </x:c>
      <x:c r="G64" s="14" t="str">
        <x:v>—</x:v>
      </x:c>
      <x:c r="H64" s="14" t="str">
        <x:v>—</x:v>
      </x:c>
      <x:c r="I64" s="14" t="str">
        <x:v>—</x:v>
      </x:c>
    </x:row>
    <x:row r="65">
      <x:c r="A65" s="14" t="str">
        <x:v>Sylhet</x:v>
      </x:c>
      <x:c r="B65" s="14" t="str">
        <x:v>Sylhet</x:v>
      </x:c>
      <x:c r="C65" s="14" t="str">
        <x:v>Shahjalal University of Science and Technology
Sylhet Agricultural University
Sylhet Medical University</x:v>
      </x:c>
      <x:c r="D65" s="14" t="str">
        <x:v>Leading University
Metropolitan University
North East University Bangladesh
RTM Al-Kabir Technical University
Sylhet International University</x:v>
      </x:c>
      <x:c r="E65" s="14" t="str">
        <x:v>—</x:v>
      </x:c>
      <x:c r="F65" s="14" t="str">
        <x:v>Sylhet MAG Osmani Medical College</x:v>
      </x:c>
      <x:c r="G65" s="14" t="str">
        <x:v>Jalalabad Ragib-Rabeya Medical College
North East Medical College
Parkview Medical College
Sylhet Women's Medical College</x:v>
      </x:c>
      <x:c r="H65" s="14" t="str">
        <x:v>—</x:v>
      </x:c>
      <x:c r="I65" s="14" t="str">
        <x:v>—</x:v>
      </x:c>
    </x:row>
  </x:sheetData>
  <x:pageMargins left="0.7" right="0.7" top="0.75" bottom="0.75" header="0.3" footer="0.3"/>
  <x:tableParts count="1">
    <x:tablePart xmlns:r="http://schemas.openxmlformats.org/officeDocument/2006/relationships" r:id="R60032a3c5a534c09"/>
  </x:tableParts>
</x:worksheet>
</file>

<file path=xl/worksheets/sheet2.xml><?xml version="1.0" encoding="utf-8"?>
<x:worksheet xmlns:x="http://schemas.openxmlformats.org/spreadsheetml/2006/main">
  <x:sheetFormatPr defaultRowHeight="15"/>
  <x:cols>
    <x:col min="1" max="1" width="14" hidden="0" customWidth="1"/>
    <x:col min="2" max="2" width="16" hidden="0" customWidth="1"/>
    <x:col min="3" max="3" width="42" hidden="0" customWidth="1"/>
    <x:col min="4" max="4" width="18" hidden="0" customWidth="1"/>
    <x:col min="5" max="5" width="18" hidden="0" customWidth="1"/>
    <x:col min="6" max="6" width="18" hidden="0" customWidth="1"/>
    <x:col min="7" max="7" width="30" hidden="0" customWidth="1"/>
    <x:col min="8" max="8" width="30" hidden="0" customWidth="1"/>
    <x:col min="9" max="9" width="48" hidden="0" customWidth="1"/>
  </x:cols>
  <x:sheetData>
    <x:row r="1">
      <x:c r="A1" s="6" t="str">
        <x:v>Division</x:v>
      </x:c>
      <x:c r="B1" s="6" t="str">
        <x:v>District</x:v>
      </x:c>
      <x:c r="C1" s="6" t="str">
        <x:v>Institution</x:v>
      </x:c>
      <x:c r="D1" s="6" t="str">
        <x:v>Category</x:v>
      </x:c>
      <x:c r="E1" s="6" t="str">
        <x:v>Sector</x:v>
      </x:c>
      <x:c r="F1" s="6" t="str">
        <x:v>Subtype</x:v>
      </x:c>
      <x:c r="G1" s="6" t="str">
        <x:v>Location / Campus</x:v>
      </x:c>
      <x:c r="H1" s="6" t="str">
        <x:v>Notes</x:v>
      </x:c>
      <x:c r="I1" s="6" t="str">
        <x:v>Source URL</x:v>
      </x:c>
    </x:row>
    <x:row r="2">
      <x:c r="A2" s="14" t="str">
        <x:v>Barishal</x:v>
      </x:c>
      <x:c r="B2" s="14" t="str">
        <x:v>Barishal</x:v>
      </x:c>
      <x:c r="C2" s="14" t="str">
        <x:v>University of Barishal</x:v>
      </x:c>
      <x:c r="D2" s="14" t="str">
        <x:v>University</x:v>
      </x:c>
      <x:c r="E2" s="14" t="str">
        <x:v>Public</x:v>
      </x:c>
      <x:c r="F2" s="14" t="str">
        <x:v>General</x:v>
      </x:c>
      <x:c r="G2" s="14" t="str"/>
      <x:c r="H2" s="14" t="str"/>
      <x:c r="I2" s="14" t="str">
        <x:v>https://www.ugc-universities.gov.bd/</x:v>
      </x:c>
    </x:row>
    <x:row r="3">
      <x:c r="A3" s="14" t="str">
        <x:v>Barishal</x:v>
      </x:c>
      <x:c r="B3" s="14" t="str">
        <x:v>Barishal</x:v>
      </x:c>
      <x:c r="C3" s="14" t="str">
        <x:v>Global University Bangladesh</x:v>
      </x:c>
      <x:c r="D3" s="14" t="str">
        <x:v>University</x:v>
      </x:c>
      <x:c r="E3" s="14" t="str">
        <x:v>Private</x:v>
      </x:c>
      <x:c r="F3" s="14" t="str">
        <x:v>General</x:v>
      </x:c>
      <x:c r="G3" s="14" t="str"/>
      <x:c r="H3" s="14" t="str"/>
      <x:c r="I3" s="14" t="str">
        <x:v>https://www.ugc-universities.gov.bd/private-universities</x:v>
      </x:c>
    </x:row>
    <x:row r="4">
      <x:c r="A4" s="14" t="str">
        <x:v>Barishal</x:v>
      </x:c>
      <x:c r="B4" s="14" t="str">
        <x:v>Barishal</x:v>
      </x:c>
      <x:c r="C4" s="14" t="str">
        <x:v>Trust University, Barishal</x:v>
      </x:c>
      <x:c r="D4" s="14" t="str">
        <x:v>University</x:v>
      </x:c>
      <x:c r="E4" s="14" t="str">
        <x:v>Private</x:v>
      </x:c>
      <x:c r="F4" s="14" t="str">
        <x:v>General</x:v>
      </x:c>
      <x:c r="G4" s="14" t="str"/>
      <x:c r="H4" s="14" t="str"/>
      <x:c r="I4" s="14" t="str">
        <x:v>https://www.ugc-universities.gov.bd/private-universities</x:v>
      </x:c>
    </x:row>
    <x:row r="5">
      <x:c r="A5" s="14" t="str">
        <x:v>Barishal</x:v>
      </x:c>
      <x:c r="B5" s="14" t="str">
        <x:v>Barishal</x:v>
      </x:c>
      <x:c r="C5" s="14" t="str">
        <x:v>University of Global Village</x:v>
      </x:c>
      <x:c r="D5" s="14" t="str">
        <x:v>University</x:v>
      </x:c>
      <x:c r="E5" s="14" t="str">
        <x:v>Private</x:v>
      </x:c>
      <x:c r="F5" s="14" t="str">
        <x:v>General</x:v>
      </x:c>
      <x:c r="G5" s="14" t="str"/>
      <x:c r="H5" s="14" t="str"/>
      <x:c r="I5" s="14" t="str">
        <x:v>https://www.ugc-universities.gov.bd/private-universities</x:v>
      </x:c>
    </x:row>
    <x:row r="6">
      <x:c r="A6" s="14" t="str">
        <x:v>Barishal</x:v>
      </x:c>
      <x:c r="B6" s="14" t="str">
        <x:v>Barishal</x:v>
      </x:c>
      <x:c r="C6" s="14" t="str">
        <x:v>Sher-e-Bangla Medical College</x:v>
      </x:c>
      <x:c r="D6" s="14" t="str">
        <x:v>Medical College</x:v>
      </x:c>
      <x:c r="E6" s="14" t="str">
        <x:v>Public</x:v>
      </x:c>
      <x:c r="F6" s="14" t="str">
        <x:v>MBBS</x:v>
      </x:c>
      <x:c r="G6" s="14" t="str"/>
      <x:c r="H6" s="14" t="str"/>
      <x:c r="I6" s="14" t="str">
        <x:v>https://en.wikipedia.org/wiki/List_of_medical_colleges_in_Bangladesh</x:v>
      </x:c>
    </x:row>
    <x:row r="7">
      <x:c r="A7" s="14" t="str">
        <x:v>Barishal</x:v>
      </x:c>
      <x:c r="B7" s="14" t="str">
        <x:v>Barishal</x:v>
      </x:c>
      <x:c r="C7" s="14" t="str">
        <x:v>South Apollo Medical College</x:v>
      </x:c>
      <x:c r="D7" s="14" t="str">
        <x:v>Medical College</x:v>
      </x:c>
      <x:c r="E7" s="14" t="str">
        <x:v>Private</x:v>
      </x:c>
      <x:c r="F7" s="14" t="str">
        <x:v>MBBS</x:v>
      </x:c>
      <x:c r="G7" s="14" t="str"/>
      <x:c r="H7" s="14" t="str"/>
      <x:c r="I7" s="14" t="str">
        <x:v>https://dgme.portal.gov.bd/pages/static-pages/6922dd3c933eb65569e140f7</x:v>
      </x:c>
    </x:row>
    <x:row r="8">
      <x:c r="A8" s="14" t="str">
        <x:v>Barishal</x:v>
      </x:c>
      <x:c r="B8" s="14" t="str">
        <x:v>Patuakhali</x:v>
      </x:c>
      <x:c r="C8" s="14" t="str">
        <x:v>Patuakhali Science and Technology University</x:v>
      </x:c>
      <x:c r="D8" s="14" t="str">
        <x:v>University</x:v>
      </x:c>
      <x:c r="E8" s="14" t="str">
        <x:v>Public</x:v>
      </x:c>
      <x:c r="F8" s="14" t="str">
        <x:v>Science &amp; Technology</x:v>
      </x:c>
      <x:c r="G8" s="14" t="str"/>
      <x:c r="H8" s="14" t="str"/>
      <x:c r="I8" s="14" t="str">
        <x:v>https://www.ugc-universities.gov.bd/</x:v>
      </x:c>
    </x:row>
    <x:row r="9">
      <x:c r="A9" s="14" t="str">
        <x:v>Barishal</x:v>
      </x:c>
      <x:c r="B9" s="14" t="str">
        <x:v>Patuakhali</x:v>
      </x:c>
      <x:c r="C9" s="14" t="str">
        <x:v>Patuakhali Medical College</x:v>
      </x:c>
      <x:c r="D9" s="14" t="str">
        <x:v>Medical College</x:v>
      </x:c>
      <x:c r="E9" s="14" t="str">
        <x:v>Public</x:v>
      </x:c>
      <x:c r="F9" s="14" t="str">
        <x:v>MBBS</x:v>
      </x:c>
      <x:c r="G9" s="14" t="str"/>
      <x:c r="H9" s="14" t="str"/>
      <x:c r="I9" s="14" t="str">
        <x:v>https://en.wikipedia.org/wiki/List_of_medical_colleges_in_Bangladesh</x:v>
      </x:c>
    </x:row>
    <x:row r="10">
      <x:c r="A10" s="14" t="str">
        <x:v>Barishal</x:v>
      </x:c>
      <x:c r="B10" s="14" t="str">
        <x:v>Pirojpur</x:v>
      </x:c>
      <x:c r="C10" s="14" t="str">
        <x:v>Pirojpur Science and Technology University</x:v>
      </x:c>
      <x:c r="D10" s="14" t="str">
        <x:v>University</x:v>
      </x:c>
      <x:c r="E10" s="14" t="str">
        <x:v>Public</x:v>
      </x:c>
      <x:c r="F10" s="14" t="str">
        <x:v>Science &amp; Technology</x:v>
      </x:c>
      <x:c r="G10" s="14" t="str"/>
      <x:c r="H10" s="14" t="str"/>
      <x:c r="I10" s="14" t="str">
        <x:v>https://www.ugc-universities.gov.bd/</x:v>
      </x:c>
    </x:row>
    <x:row r="11">
      <x:c r="A11" s="14" t="str">
        <x:v>Chattogram</x:v>
      </x:c>
      <x:c r="B11" s="14" t="str">
        <x:v>Bandarban</x:v>
      </x:c>
      <x:c r="C11" s="14" t="str">
        <x:v>Bandarban University</x:v>
      </x:c>
      <x:c r="D11" s="14" t="str">
        <x:v>University</x:v>
      </x:c>
      <x:c r="E11" s="14" t="str">
        <x:v>Private</x:v>
      </x:c>
      <x:c r="F11" s="14" t="str">
        <x:v>General</x:v>
      </x:c>
      <x:c r="G11" s="14" t="str"/>
      <x:c r="H11" s="14" t="str"/>
      <x:c r="I11" s="14" t="str">
        <x:v>https://www.ugc-universities.gov.bd/private-universities</x:v>
      </x:c>
    </x:row>
    <x:row r="12">
      <x:c r="A12" s="14" t="str">
        <x:v>Chattogram</x:v>
      </x:c>
      <x:c r="B12" s="14" t="str">
        <x:v>Brahmanbaria</x:v>
      </x:c>
      <x:c r="C12" s="14" t="str">
        <x:v>University of Brahmanbaria</x:v>
      </x:c>
      <x:c r="D12" s="14" t="str">
        <x:v>University</x:v>
      </x:c>
      <x:c r="E12" s="14" t="str">
        <x:v>Private</x:v>
      </x:c>
      <x:c r="F12" s="14" t="str">
        <x:v>General</x:v>
      </x:c>
      <x:c r="G12" s="14" t="str"/>
      <x:c r="H12" s="14" t="str"/>
      <x:c r="I12" s="14" t="str">
        <x:v>https://www.ugc-universities.gov.bd/private-universities</x:v>
      </x:c>
    </x:row>
    <x:row r="13">
      <x:c r="A13" s="14" t="str">
        <x:v>Chattogram</x:v>
      </x:c>
      <x:c r="B13" s="14" t="str">
        <x:v>Brahmanbaria</x:v>
      </x:c>
      <x:c r="C13" s="14" t="str">
        <x:v>Brahmanbaria Medical College</x:v>
      </x:c>
      <x:c r="D13" s="14" t="str">
        <x:v>Medical College</x:v>
      </x:c>
      <x:c r="E13" s="14" t="str">
        <x:v>Private</x:v>
      </x:c>
      <x:c r="F13" s="14" t="str">
        <x:v>MBBS</x:v>
      </x:c>
      <x:c r="G13" s="14" t="str"/>
      <x:c r="H13" s="14" t="str"/>
      <x:c r="I13" s="14" t="str">
        <x:v>https://dgme.portal.gov.bd/pages/static-pages/6922dd3c933eb65569e140f7</x:v>
      </x:c>
    </x:row>
    <x:row r="14">
      <x:c r="A14" s="14" t="str">
        <x:v>Chattogram</x:v>
      </x:c>
      <x:c r="B14" s="14" t="str">
        <x:v>Chandpur</x:v>
      </x:c>
      <x:c r="C14" s="14" t="str">
        <x:v>Chandpur Science and Technology University</x:v>
      </x:c>
      <x:c r="D14" s="14" t="str">
        <x:v>University</x:v>
      </x:c>
      <x:c r="E14" s="14" t="str">
        <x:v>Public</x:v>
      </x:c>
      <x:c r="F14" s="14" t="str">
        <x:v>Science &amp; Technology</x:v>
      </x:c>
      <x:c r="G14" s="14" t="str"/>
      <x:c r="H14" s="14" t="str"/>
      <x:c r="I14" s="14" t="str">
        <x:v>https://www.ugc-universities.gov.bd/</x:v>
      </x:c>
    </x:row>
    <x:row r="15">
      <x:c r="A15" s="14" t="str">
        <x:v>Chattogram</x:v>
      </x:c>
      <x:c r="B15" s="14" t="str">
        <x:v>Chandpur</x:v>
      </x:c>
      <x:c r="C15" s="14" t="str">
        <x:v>Chandpur Medical College</x:v>
      </x:c>
      <x:c r="D15" s="14" t="str">
        <x:v>Medical College</x:v>
      </x:c>
      <x:c r="E15" s="14" t="str">
        <x:v>Public</x:v>
      </x:c>
      <x:c r="F15" s="14" t="str">
        <x:v>MBBS</x:v>
      </x:c>
      <x:c r="G15" s="14" t="str"/>
      <x:c r="H15" s="14" t="str"/>
      <x:c r="I15" s="14" t="str">
        <x:v>https://en.wikipedia.org/wiki/List_of_medical_colleges_in_Bangladesh</x:v>
      </x:c>
    </x:row>
    <x:row r="16">
      <x:c r="A16" s="14" t="str">
        <x:v>Chattogram</x:v>
      </x:c>
      <x:c r="B16" s="14" t="str">
        <x:v>Chattogram</x:v>
      </x:c>
      <x:c r="C16" s="14" t="str">
        <x:v>Chittagong Medical University</x:v>
      </x:c>
      <x:c r="D16" s="14" t="str">
        <x:v>University</x:v>
      </x:c>
      <x:c r="E16" s="14" t="str">
        <x:v>Public</x:v>
      </x:c>
      <x:c r="F16" s="14" t="str">
        <x:v>Medical University</x:v>
      </x:c>
      <x:c r="G16" s="14" t="str"/>
      <x:c r="H16" s="14" t="str"/>
      <x:c r="I16" s="14" t="str">
        <x:v>https://en.wikipedia.org/wiki/List_of_medical_colleges_in_Bangladesh</x:v>
      </x:c>
    </x:row>
    <x:row r="17">
      <x:c r="A17" s="14" t="str">
        <x:v>Chattogram</x:v>
      </x:c>
      <x:c r="B17" s="14" t="str">
        <x:v>Chattogram</x:v>
      </x:c>
      <x:c r="C17" s="14" t="str">
        <x:v>Chittagong University of Engineering &amp; Technology</x:v>
      </x:c>
      <x:c r="D17" s="14" t="str">
        <x:v>University</x:v>
      </x:c>
      <x:c r="E17" s="14" t="str">
        <x:v>Public</x:v>
      </x:c>
      <x:c r="F17" s="14" t="str">
        <x:v>Engineering</x:v>
      </x:c>
      <x:c r="G17" s="14" t="str"/>
      <x:c r="H17" s="14" t="str"/>
      <x:c r="I17" s="14" t="str">
        <x:v>https://www.ugc-universities.gov.bd/</x:v>
      </x:c>
    </x:row>
    <x:row r="18">
      <x:c r="A18" s="14" t="str">
        <x:v>Chattogram</x:v>
      </x:c>
      <x:c r="B18" s="14" t="str">
        <x:v>Chattogram</x:v>
      </x:c>
      <x:c r="C18" s="14" t="str">
        <x:v>Chittagong Veterinary and Animal Sciences University</x:v>
      </x:c>
      <x:c r="D18" s="14" t="str">
        <x:v>University</x:v>
      </x:c>
      <x:c r="E18" s="14" t="str">
        <x:v>Public</x:v>
      </x:c>
      <x:c r="F18" s="14" t="str">
        <x:v>Veterinary / Animal Sciences</x:v>
      </x:c>
      <x:c r="G18" s="14" t="str"/>
      <x:c r="H18" s="14" t="str"/>
      <x:c r="I18" s="14" t="str">
        <x:v>https://www.ugc-universities.gov.bd/</x:v>
      </x:c>
    </x:row>
    <x:row r="19">
      <x:c r="A19" s="14" t="str">
        <x:v>Chattogram</x:v>
      </x:c>
      <x:c r="B19" s="14" t="str">
        <x:v>Chattogram</x:v>
      </x:c>
      <x:c r="C19" s="14" t="str">
        <x:v>University of Chittagong</x:v>
      </x:c>
      <x:c r="D19" s="14" t="str">
        <x:v>University</x:v>
      </x:c>
      <x:c r="E19" s="14" t="str">
        <x:v>Public</x:v>
      </x:c>
      <x:c r="F19" s="14" t="str">
        <x:v>General</x:v>
      </x:c>
      <x:c r="G19" s="14" t="str"/>
      <x:c r="H19" s="14" t="str"/>
      <x:c r="I19" s="14" t="str">
        <x:v>https://www.ugc-universities.gov.bd/</x:v>
      </x:c>
    </x:row>
    <x:row r="20">
      <x:c r="A20" s="14" t="str">
        <x:v>Chattogram</x:v>
      </x:c>
      <x:c r="B20" s="14" t="str">
        <x:v>Chattogram</x:v>
      </x:c>
      <x:c r="C20" s="14" t="str">
        <x:v>Asian University for Women</x:v>
      </x:c>
      <x:c r="D20" s="14" t="str">
        <x:v>University</x:v>
      </x:c>
      <x:c r="E20" s="14" t="str">
        <x:v>International</x:v>
      </x:c>
      <x:c r="F20" s="14" t="str">
        <x:v>International / Regional</x:v>
      </x:c>
      <x:c r="G20" s="14" t="str"/>
      <x:c r="H20" s="14" t="str"/>
      <x:c r="I20" s="14" t="str">
        <x:v>https://www.ugc-universities.gov.bd/international-universities</x:v>
      </x:c>
    </x:row>
    <x:row r="21">
      <x:c r="A21" s="14" t="str">
        <x:v>Chattogram</x:v>
      </x:c>
      <x:c r="B21" s="14" t="str">
        <x:v>Chattogram</x:v>
      </x:c>
      <x:c r="C21" s="14" t="str">
        <x:v>BGC Trust University Bangladesh</x:v>
      </x:c>
      <x:c r="D21" s="14" t="str">
        <x:v>University</x:v>
      </x:c>
      <x:c r="E21" s="14" t="str">
        <x:v>Private</x:v>
      </x:c>
      <x:c r="F21" s="14" t="str">
        <x:v>General</x:v>
      </x:c>
      <x:c r="G21" s="14" t="str"/>
      <x:c r="H21" s="14" t="str"/>
      <x:c r="I21" s="14" t="str">
        <x:v>https://www.ugc-universities.gov.bd/private-universities</x:v>
      </x:c>
    </x:row>
    <x:row r="22">
      <x:c r="A22" s="14" t="str">
        <x:v>Chattogram</x:v>
      </x:c>
      <x:c r="B22" s="14" t="str">
        <x:v>Chattogram</x:v>
      </x:c>
      <x:c r="C22" s="14" t="str">
        <x:v>Chattogram BGMEA University of Fashion and Technology</x:v>
      </x:c>
      <x:c r="D22" s="14" t="str">
        <x:v>University</x:v>
      </x:c>
      <x:c r="E22" s="14" t="str">
        <x:v>Private</x:v>
      </x:c>
      <x:c r="F22" s="14" t="str">
        <x:v>Specialized / Fashion &amp; textile</x:v>
      </x:c>
      <x:c r="G22" s="14" t="str"/>
      <x:c r="H22" s="14" t="str"/>
      <x:c r="I22" s="14" t="str">
        <x:v>https://www.ugc-universities.gov.bd/private-universities</x:v>
      </x:c>
    </x:row>
    <x:row r="23">
      <x:c r="A23" s="14" t="str">
        <x:v>Chattogram</x:v>
      </x:c>
      <x:c r="B23" s="14" t="str">
        <x:v>Chattogram</x:v>
      </x:c>
      <x:c r="C23" s="14" t="str">
        <x:v>Chittagong Independent University</x:v>
      </x:c>
      <x:c r="D23" s="14" t="str">
        <x:v>University</x:v>
      </x:c>
      <x:c r="E23" s="14" t="str">
        <x:v>Private</x:v>
      </x:c>
      <x:c r="F23" s="14" t="str">
        <x:v>General</x:v>
      </x:c>
      <x:c r="G23" s="14" t="str"/>
      <x:c r="H23" s="14" t="str"/>
      <x:c r="I23" s="14" t="str">
        <x:v>https://www.ugc-universities.gov.bd/private-universities</x:v>
      </x:c>
    </x:row>
    <x:row r="24">
      <x:c r="A24" s="14" t="str">
        <x:v>Chattogram</x:v>
      </x:c>
      <x:c r="B24" s="14" t="str">
        <x:v>Chattogram</x:v>
      </x:c>
      <x:c r="C24" s="14" t="str">
        <x:v>East Delta University</x:v>
      </x:c>
      <x:c r="D24" s="14" t="str">
        <x:v>University</x:v>
      </x:c>
      <x:c r="E24" s="14" t="str">
        <x:v>Private</x:v>
      </x:c>
      <x:c r="F24" s="14" t="str">
        <x:v>General</x:v>
      </x:c>
      <x:c r="G24" s="14" t="str"/>
      <x:c r="H24" s="14" t="str"/>
      <x:c r="I24" s="14" t="str">
        <x:v>https://www.ugc-universities.gov.bd/private-universities</x:v>
      </x:c>
    </x:row>
    <x:row r="25">
      <x:c r="A25" s="14" t="str">
        <x:v>Chattogram</x:v>
      </x:c>
      <x:c r="B25" s="14" t="str">
        <x:v>Chattogram</x:v>
      </x:c>
      <x:c r="C25" s="14" t="str">
        <x:v>International Islamic University Chittagong</x:v>
      </x:c>
      <x:c r="D25" s="14" t="str">
        <x:v>University</x:v>
      </x:c>
      <x:c r="E25" s="14" t="str">
        <x:v>Private</x:v>
      </x:c>
      <x:c r="F25" s="14" t="str">
        <x:v>General</x:v>
      </x:c>
      <x:c r="G25" s="14" t="str"/>
      <x:c r="H25" s="14" t="str"/>
      <x:c r="I25" s="14" t="str">
        <x:v>https://www.ugc-universities.gov.bd/private-universities</x:v>
      </x:c>
    </x:row>
    <x:row r="26">
      <x:c r="A26" s="14" t="str">
        <x:v>Chattogram</x:v>
      </x:c>
      <x:c r="B26" s="14" t="str">
        <x:v>Chattogram</x:v>
      </x:c>
      <x:c r="C26" s="14" t="str">
        <x:v>Port City International University</x:v>
      </x:c>
      <x:c r="D26" s="14" t="str">
        <x:v>University</x:v>
      </x:c>
      <x:c r="E26" s="14" t="str">
        <x:v>Private</x:v>
      </x:c>
      <x:c r="F26" s="14" t="str">
        <x:v>General</x:v>
      </x:c>
      <x:c r="G26" s="14" t="str"/>
      <x:c r="H26" s="14" t="str"/>
      <x:c r="I26" s="14" t="str">
        <x:v>https://www.ugc-universities.gov.bd/private-universities</x:v>
      </x:c>
    </x:row>
    <x:row r="27">
      <x:c r="A27" s="14" t="str">
        <x:v>Chattogram</x:v>
      </x:c>
      <x:c r="B27" s="14" t="str">
        <x:v>Chattogram</x:v>
      </x:c>
      <x:c r="C27" s="14" t="str">
        <x:v>Premier University, Chittagong</x:v>
      </x:c>
      <x:c r="D27" s="14" t="str">
        <x:v>University</x:v>
      </x:c>
      <x:c r="E27" s="14" t="str">
        <x:v>Private</x:v>
      </x:c>
      <x:c r="F27" s="14" t="str">
        <x:v>General</x:v>
      </x:c>
      <x:c r="G27" s="14" t="str"/>
      <x:c r="H27" s="14" t="str"/>
      <x:c r="I27" s="14" t="str">
        <x:v>https://www.ugc-universities.gov.bd/private-universities</x:v>
      </x:c>
    </x:row>
    <x:row r="28">
      <x:c r="A28" s="14" t="str">
        <x:v>Chattogram</x:v>
      </x:c>
      <x:c r="B28" s="14" t="str">
        <x:v>Chattogram</x:v>
      </x:c>
      <x:c r="C28" s="14" t="str">
        <x:v>Southern University Bangladesh</x:v>
      </x:c>
      <x:c r="D28" s="14" t="str">
        <x:v>University</x:v>
      </x:c>
      <x:c r="E28" s="14" t="str">
        <x:v>Private</x:v>
      </x:c>
      <x:c r="F28" s="14" t="str">
        <x:v>General</x:v>
      </x:c>
      <x:c r="G28" s="14" t="str"/>
      <x:c r="H28" s="14" t="str"/>
      <x:c r="I28" s="14" t="str">
        <x:v>https://www.ugc-universities.gov.bd/private-universities</x:v>
      </x:c>
    </x:row>
    <x:row r="29">
      <x:c r="A29" s="14" t="str">
        <x:v>Chattogram</x:v>
      </x:c>
      <x:c r="B29" s="14" t="str">
        <x:v>Chattogram</x:v>
      </x:c>
      <x:c r="C29" s="14" t="str">
        <x:v>University of Creative Technology Chittagong</x:v>
      </x:c>
      <x:c r="D29" s="14" t="str">
        <x:v>University</x:v>
      </x:c>
      <x:c r="E29" s="14" t="str">
        <x:v>Private</x:v>
      </x:c>
      <x:c r="F29" s="14" t="str">
        <x:v>General</x:v>
      </x:c>
      <x:c r="G29" s="14" t="str"/>
      <x:c r="H29" s="14" t="str"/>
      <x:c r="I29" s="14" t="str">
        <x:v>https://www.ugc-universities.gov.bd/private-universities</x:v>
      </x:c>
    </x:row>
    <x:row r="30">
      <x:c r="A30" s="14" t="str">
        <x:v>Chattogram</x:v>
      </x:c>
      <x:c r="B30" s="14" t="str">
        <x:v>Chattogram</x:v>
      </x:c>
      <x:c r="C30" s="14" t="str">
        <x:v>University of Science and Technology Chittagong</x:v>
      </x:c>
      <x:c r="D30" s="14" t="str">
        <x:v>University</x:v>
      </x:c>
      <x:c r="E30" s="14" t="str">
        <x:v>Private</x:v>
      </x:c>
      <x:c r="F30" s="14" t="str">
        <x:v>Science &amp; Technology</x:v>
      </x:c>
      <x:c r="G30" s="14" t="str"/>
      <x:c r="H30" s="14" t="str"/>
      <x:c r="I30" s="14" t="str">
        <x:v>https://www.ugc-universities.gov.bd/private-universities</x:v>
      </x:c>
    </x:row>
    <x:row r="31">
      <x:c r="A31" s="14" t="str">
        <x:v>Chattogram</x:v>
      </x:c>
      <x:c r="B31" s="14" t="str">
        <x:v>Chattogram</x:v>
      </x:c>
      <x:c r="C31" s="14" t="str">
        <x:v>Chittagong Medical College</x:v>
      </x:c>
      <x:c r="D31" s="14" t="str">
        <x:v>Medical College</x:v>
      </x:c>
      <x:c r="E31" s="14" t="str">
        <x:v>Public</x:v>
      </x:c>
      <x:c r="F31" s="14" t="str">
        <x:v>MBBS</x:v>
      </x:c>
      <x:c r="G31" s="14" t="str"/>
      <x:c r="H31" s="14" t="str"/>
      <x:c r="I31" s="14" t="str">
        <x:v>https://en.wikipedia.org/wiki/List_of_medical_colleges_in_Bangladesh</x:v>
      </x:c>
    </x:row>
    <x:row r="32">
      <x:c r="A32" s="14" t="str">
        <x:v>Chattogram</x:v>
      </x:c>
      <x:c r="B32" s="14" t="str">
        <x:v>Chattogram</x:v>
      </x:c>
      <x:c r="C32" s="14" t="str">
        <x:v>BGC Trust Medical College</x:v>
      </x:c>
      <x:c r="D32" s="14" t="str">
        <x:v>Medical College</x:v>
      </x:c>
      <x:c r="E32" s="14" t="str">
        <x:v>Private</x:v>
      </x:c>
      <x:c r="F32" s="14" t="str">
        <x:v>MBBS</x:v>
      </x:c>
      <x:c r="G32" s="14" t="str"/>
      <x:c r="H32" s="14" t="str"/>
      <x:c r="I32" s="14" t="str">
        <x:v>https://dgme.portal.gov.bd/pages/static-pages/6922dd3c933eb65569e140f7</x:v>
      </x:c>
    </x:row>
    <x:row r="33">
      <x:c r="A33" s="14" t="str">
        <x:v>Chattogram</x:v>
      </x:c>
      <x:c r="B33" s="14" t="str">
        <x:v>Chattogram</x:v>
      </x:c>
      <x:c r="C33" s="14" t="str">
        <x:v>Chattagram International Medical College</x:v>
      </x:c>
      <x:c r="D33" s="14" t="str">
        <x:v>Medical College</x:v>
      </x:c>
      <x:c r="E33" s="14" t="str">
        <x:v>Private</x:v>
      </x:c>
      <x:c r="F33" s="14" t="str">
        <x:v>MBBS</x:v>
      </x:c>
      <x:c r="G33" s="14" t="str"/>
      <x:c r="H33" s="14" t="str"/>
      <x:c r="I33" s="14" t="str">
        <x:v>https://dgme.portal.gov.bd/pages/static-pages/6922dd3c933eb65569e140f7</x:v>
      </x:c>
    </x:row>
    <x:row r="34">
      <x:c r="A34" s="14" t="str">
        <x:v>Chattogram</x:v>
      </x:c>
      <x:c r="B34" s="14" t="str">
        <x:v>Chattogram</x:v>
      </x:c>
      <x:c r="C34" s="14" t="str">
        <x:v>Chattagram Maa-O-Shishu Hospital Medical College</x:v>
      </x:c>
      <x:c r="D34" s="14" t="str">
        <x:v>Medical College</x:v>
      </x:c>
      <x:c r="E34" s="14" t="str">
        <x:v>Private</x:v>
      </x:c>
      <x:c r="F34" s="14" t="str">
        <x:v>MBBS</x:v>
      </x:c>
      <x:c r="G34" s="14" t="str"/>
      <x:c r="H34" s="14" t="str"/>
      <x:c r="I34" s="14" t="str">
        <x:v>https://dgme.portal.gov.bd/pages/static-pages/6922dd3c933eb65569e140f7</x:v>
      </x:c>
    </x:row>
    <x:row r="35">
      <x:c r="A35" s="14" t="str">
        <x:v>Chattogram</x:v>
      </x:c>
      <x:c r="B35" s="14" t="str">
        <x:v>Chattogram</x:v>
      </x:c>
      <x:c r="C35" s="14" t="str">
        <x:v>Institute of Applied Health Sciences</x:v>
      </x:c>
      <x:c r="D35" s="14" t="str">
        <x:v>Medical College</x:v>
      </x:c>
      <x:c r="E35" s="14" t="str">
        <x:v>Private</x:v>
      </x:c>
      <x:c r="F35" s="14" t="str">
        <x:v>MBBS</x:v>
      </x:c>
      <x:c r="G35" s="14" t="str"/>
      <x:c r="H35" s="14" t="str"/>
      <x:c r="I35" s="14" t="str">
        <x:v>https://dgme.portal.gov.bd/pages/static-pages/6922dd3c933eb65569e140f7</x:v>
      </x:c>
    </x:row>
    <x:row r="36">
      <x:c r="A36" s="14" t="str">
        <x:v>Chattogram</x:v>
      </x:c>
      <x:c r="B36" s="14" t="str">
        <x:v>Chattogram</x:v>
      </x:c>
      <x:c r="C36" s="14" t="str">
        <x:v>Marine City Medical College</x:v>
      </x:c>
      <x:c r="D36" s="14" t="str">
        <x:v>Medical College</x:v>
      </x:c>
      <x:c r="E36" s="14" t="str">
        <x:v>Private</x:v>
      </x:c>
      <x:c r="F36" s="14" t="str">
        <x:v>MBBS</x:v>
      </x:c>
      <x:c r="G36" s="14" t="str"/>
      <x:c r="H36" s="14" t="str"/>
      <x:c r="I36" s="14" t="str">
        <x:v>https://dgme.portal.gov.bd/pages/static-pages/6922dd3c933eb65569e140f7</x:v>
      </x:c>
    </x:row>
    <x:row r="37">
      <x:c r="A37" s="14" t="str">
        <x:v>Chattogram</x:v>
      </x:c>
      <x:c r="B37" s="14" t="str">
        <x:v>Chattogram</x:v>
      </x:c>
      <x:c r="C37" s="14" t="str">
        <x:v>Southern Medical College</x:v>
      </x:c>
      <x:c r="D37" s="14" t="str">
        <x:v>Medical College</x:v>
      </x:c>
      <x:c r="E37" s="14" t="str">
        <x:v>Private</x:v>
      </x:c>
      <x:c r="F37" s="14" t="str">
        <x:v>MBBS</x:v>
      </x:c>
      <x:c r="G37" s="14" t="str"/>
      <x:c r="H37" s="14" t="str"/>
      <x:c r="I37" s="14" t="str">
        <x:v>https://dgme.portal.gov.bd/pages/static-pages/6922dd3c933eb65569e140f7</x:v>
      </x:c>
    </x:row>
    <x:row r="38">
      <x:c r="A38" s="14" t="str">
        <x:v>Chattogram</x:v>
      </x:c>
      <x:c r="B38" s="14" t="str">
        <x:v>Chattogram</x:v>
      </x:c>
      <x:c r="C38" s="14" t="str">
        <x:v>Army Medical College, Chattogram</x:v>
      </x:c>
      <x:c r="D38" s="14" t="str">
        <x:v>Medical College</x:v>
      </x:c>
      <x:c r="E38" s="14" t="str">
        <x:v>Military</x:v>
      </x:c>
      <x:c r="F38" s="14" t="str">
        <x:v>MBBS / Armed Forces</x:v>
      </x:c>
      <x:c r="G38" s="14" t="str"/>
      <x:c r="H38" s="14" t="str"/>
      <x:c r="I38" s="14" t="str">
        <x:v>https://en.wikipedia.org/wiki/List_of_medical_colleges_in_Bangladesh</x:v>
      </x:c>
    </x:row>
    <x:row r="39">
      <x:c r="A39" s="14" t="str">
        <x:v>Chattogram</x:v>
      </x:c>
      <x:c r="B39" s="14" t="str">
        <x:v>Chattogram</x:v>
      </x:c>
      <x:c r="C39" s="14" t="str">
        <x:v>Navy Medical College, Chattogram</x:v>
      </x:c>
      <x:c r="D39" s="14" t="str">
        <x:v>Medical College</x:v>
      </x:c>
      <x:c r="E39" s="14" t="str">
        <x:v>Military</x:v>
      </x:c>
      <x:c r="F39" s="14" t="str">
        <x:v>MBBS / Armed Forces</x:v>
      </x:c>
      <x:c r="G39" s="14" t="str"/>
      <x:c r="H39" s="14" t="str"/>
      <x:c r="I39" s="14" t="str">
        <x:v>https://en.wikipedia.org/wiki/List_of_medical_colleges_in_Bangladesh</x:v>
      </x:c>
    </x:row>
    <x:row r="40">
      <x:c r="A40" s="14" t="str">
        <x:v>Chattogram</x:v>
      </x:c>
      <x:c r="B40" s="14" t="str">
        <x:v>Cox's Bazar</x:v>
      </x:c>
      <x:c r="C40" s="14" t="str">
        <x:v>Cox's Bazar International University</x:v>
      </x:c>
      <x:c r="D40" s="14" t="str">
        <x:v>University</x:v>
      </x:c>
      <x:c r="E40" s="14" t="str">
        <x:v>Private</x:v>
      </x:c>
      <x:c r="F40" s="14" t="str">
        <x:v>General</x:v>
      </x:c>
      <x:c r="G40" s="14" t="str"/>
      <x:c r="H40" s="14" t="str"/>
      <x:c r="I40" s="14" t="str">
        <x:v>https://www.ugc-universities.gov.bd/private-universities</x:v>
      </x:c>
    </x:row>
    <x:row r="41">
      <x:c r="A41" s="14" t="str">
        <x:v>Chattogram</x:v>
      </x:c>
      <x:c r="B41" s="14" t="str">
        <x:v>Cox's Bazar</x:v>
      </x:c>
      <x:c r="C41" s="14" t="str">
        <x:v>Cox's Bazar Medical College</x:v>
      </x:c>
      <x:c r="D41" s="14" t="str">
        <x:v>Medical College</x:v>
      </x:c>
      <x:c r="E41" s="14" t="str">
        <x:v>Public</x:v>
      </x:c>
      <x:c r="F41" s="14" t="str">
        <x:v>MBBS</x:v>
      </x:c>
      <x:c r="G41" s="14" t="str"/>
      <x:c r="H41" s="14" t="str"/>
      <x:c r="I41" s="14" t="str">
        <x:v>https://en.wikipedia.org/wiki/List_of_medical_colleges_in_Bangladesh</x:v>
      </x:c>
    </x:row>
    <x:row r="42">
      <x:c r="A42" s="14" t="str">
        <x:v>Chattogram</x:v>
      </x:c>
      <x:c r="B42" s="14" t="str">
        <x:v>Cumilla</x:v>
      </x:c>
      <x:c r="C42" s="14" t="str">
        <x:v>Comilla University</x:v>
      </x:c>
      <x:c r="D42" s="14" t="str">
        <x:v>University</x:v>
      </x:c>
      <x:c r="E42" s="14" t="str">
        <x:v>Public</x:v>
      </x:c>
      <x:c r="F42" s="14" t="str">
        <x:v>General</x:v>
      </x:c>
      <x:c r="G42" s="14" t="str"/>
      <x:c r="H42" s="14" t="str"/>
      <x:c r="I42" s="14" t="str">
        <x:v>https://www.ugc-universities.gov.bd/</x:v>
      </x:c>
    </x:row>
    <x:row r="43">
      <x:c r="A43" s="14" t="str">
        <x:v>Chattogram</x:v>
      </x:c>
      <x:c r="B43" s="14" t="str">
        <x:v>Cumilla</x:v>
      </x:c>
      <x:c r="C43" s="14" t="str">
        <x:v>Bangladesh Army International University of Science and Technology</x:v>
      </x:c>
      <x:c r="D43" s="14" t="str">
        <x:v>University</x:v>
      </x:c>
      <x:c r="E43" s="14" t="str">
        <x:v>Private</x:v>
      </x:c>
      <x:c r="F43" s="14" t="str">
        <x:v>Science &amp; Technology / Army-sponsored</x:v>
      </x:c>
      <x:c r="G43" s="14" t="str"/>
      <x:c r="H43" s="14" t="str"/>
      <x:c r="I43" s="14" t="str">
        <x:v>https://www.ugc-universities.gov.bd/private-universities</x:v>
      </x:c>
    </x:row>
    <x:row r="44">
      <x:c r="A44" s="14" t="str">
        <x:v>Chattogram</x:v>
      </x:c>
      <x:c r="B44" s="14" t="str">
        <x:v>Cumilla</x:v>
      </x:c>
      <x:c r="C44" s="14" t="str">
        <x:v>Britannia University</x:v>
      </x:c>
      <x:c r="D44" s="14" t="str">
        <x:v>University</x:v>
      </x:c>
      <x:c r="E44" s="14" t="str">
        <x:v>Private</x:v>
      </x:c>
      <x:c r="F44" s="14" t="str">
        <x:v>General</x:v>
      </x:c>
      <x:c r="G44" s="14" t="str"/>
      <x:c r="H44" s="14" t="str"/>
      <x:c r="I44" s="14" t="str">
        <x:v>https://www.ugc-universities.gov.bd/private-universities</x:v>
      </x:c>
    </x:row>
    <x:row r="45">
      <x:c r="A45" s="14" t="str">
        <x:v>Chattogram</x:v>
      </x:c>
      <x:c r="B45" s="14" t="str">
        <x:v>Cumilla</x:v>
      </x:c>
      <x:c r="C45" s="14" t="str">
        <x:v>CCN University of Science &amp; Technology</x:v>
      </x:c>
      <x:c r="D45" s="14" t="str">
        <x:v>University</x:v>
      </x:c>
      <x:c r="E45" s="14" t="str">
        <x:v>Private</x:v>
      </x:c>
      <x:c r="F45" s="14" t="str">
        <x:v>Science &amp; Technology</x:v>
      </x:c>
      <x:c r="G45" s="14" t="str"/>
      <x:c r="H45" s="14" t="str"/>
      <x:c r="I45" s="14" t="str">
        <x:v>https://www.ugc-universities.gov.bd/private-universities</x:v>
      </x:c>
    </x:row>
    <x:row r="46">
      <x:c r="A46" s="14" t="str">
        <x:v>Chattogram</x:v>
      </x:c>
      <x:c r="B46" s="14" t="str">
        <x:v>Cumilla</x:v>
      </x:c>
      <x:c r="C46" s="14" t="str">
        <x:v>University of Comilla</x:v>
      </x:c>
      <x:c r="D46" s="14" t="str">
        <x:v>University</x:v>
      </x:c>
      <x:c r="E46" s="14" t="str">
        <x:v>Private</x:v>
      </x:c>
      <x:c r="F46" s="14" t="str">
        <x:v>General</x:v>
      </x:c>
      <x:c r="G46" s="14" t="str"/>
      <x:c r="H46" s="14" t="str">
        <x:v>UGC list marks special/inactive status; verify before admission</x:v>
      </x:c>
      <x:c r="I46" s="14" t="str">
        <x:v>https://www.ugc-universities.gov.bd/private-universities</x:v>
      </x:c>
    </x:row>
    <x:row r="47">
      <x:c r="A47" s="14" t="str">
        <x:v>Chattogram</x:v>
      </x:c>
      <x:c r="B47" s="14" t="str">
        <x:v>Cumilla</x:v>
      </x:c>
      <x:c r="C47" s="14" t="str">
        <x:v>Cumilla Medical College</x:v>
      </x:c>
      <x:c r="D47" s="14" t="str">
        <x:v>Medical College</x:v>
      </x:c>
      <x:c r="E47" s="14" t="str">
        <x:v>Public</x:v>
      </x:c>
      <x:c r="F47" s="14" t="str">
        <x:v>MBBS</x:v>
      </x:c>
      <x:c r="G47" s="14" t="str"/>
      <x:c r="H47" s="14" t="str"/>
      <x:c r="I47" s="14" t="str">
        <x:v>https://en.wikipedia.org/wiki/List_of_medical_colleges_in_Bangladesh</x:v>
      </x:c>
    </x:row>
    <x:row r="48">
      <x:c r="A48" s="14" t="str">
        <x:v>Chattogram</x:v>
      </x:c>
      <x:c r="B48" s="14" t="str">
        <x:v>Cumilla</x:v>
      </x:c>
      <x:c r="C48" s="14" t="str">
        <x:v>Central Medical College</x:v>
      </x:c>
      <x:c r="D48" s="14" t="str">
        <x:v>Medical College</x:v>
      </x:c>
      <x:c r="E48" s="14" t="str">
        <x:v>Private</x:v>
      </x:c>
      <x:c r="F48" s="14" t="str">
        <x:v>MBBS</x:v>
      </x:c>
      <x:c r="G48" s="14" t="str"/>
      <x:c r="H48" s="14" t="str"/>
      <x:c r="I48" s="14" t="str">
        <x:v>https://dgme.portal.gov.bd/pages/static-pages/6922dd3c933eb65569e140f7</x:v>
      </x:c>
    </x:row>
    <x:row r="49">
      <x:c r="A49" s="14" t="str">
        <x:v>Chattogram</x:v>
      </x:c>
      <x:c r="B49" s="14" t="str">
        <x:v>Cumilla</x:v>
      </x:c>
      <x:c r="C49" s="14" t="str">
        <x:v>Eastern Medical College</x:v>
      </x:c>
      <x:c r="D49" s="14" t="str">
        <x:v>Medical College</x:v>
      </x:c>
      <x:c r="E49" s="14" t="str">
        <x:v>Private</x:v>
      </x:c>
      <x:c r="F49" s="14" t="str">
        <x:v>MBBS</x:v>
      </x:c>
      <x:c r="G49" s="14" t="str"/>
      <x:c r="H49" s="14" t="str"/>
      <x:c r="I49" s="14" t="str">
        <x:v>https://dgme.portal.gov.bd/pages/static-pages/6922dd3c933eb65569e140f7</x:v>
      </x:c>
    </x:row>
    <x:row r="50">
      <x:c r="A50" s="14" t="str">
        <x:v>Chattogram</x:v>
      </x:c>
      <x:c r="B50" s="14" t="str">
        <x:v>Cumilla</x:v>
      </x:c>
      <x:c r="C50" s="14" t="str">
        <x:v>Mainamoti Medical College</x:v>
      </x:c>
      <x:c r="D50" s="14" t="str">
        <x:v>Medical College</x:v>
      </x:c>
      <x:c r="E50" s="14" t="str">
        <x:v>Private</x:v>
      </x:c>
      <x:c r="F50" s="14" t="str">
        <x:v>MBBS</x:v>
      </x:c>
      <x:c r="G50" s="14" t="str"/>
      <x:c r="H50" s="14" t="str"/>
      <x:c r="I50" s="14" t="str">
        <x:v>https://dgme.portal.gov.bd/pages/static-pages/6922dd3c933eb65569e140f7</x:v>
      </x:c>
    </x:row>
    <x:row r="51">
      <x:c r="A51" s="14" t="str">
        <x:v>Chattogram</x:v>
      </x:c>
      <x:c r="B51" s="14" t="str">
        <x:v>Cumilla</x:v>
      </x:c>
      <x:c r="C51" s="14" t="str">
        <x:v>Army Medical College, Cumilla</x:v>
      </x:c>
      <x:c r="D51" s="14" t="str">
        <x:v>Medical College</x:v>
      </x:c>
      <x:c r="E51" s="14" t="str">
        <x:v>Military</x:v>
      </x:c>
      <x:c r="F51" s="14" t="str">
        <x:v>MBBS / Armed Forces</x:v>
      </x:c>
      <x:c r="G51" s="14" t="str"/>
      <x:c r="H51" s="14" t="str"/>
      <x:c r="I51" s="14" t="str">
        <x:v>https://en.wikipedia.org/wiki/List_of_medical_colleges_in_Bangladesh</x:v>
      </x:c>
    </x:row>
    <x:row r="52">
      <x:c r="A52" s="14" t="str">
        <x:v>Chattogram</x:v>
      </x:c>
      <x:c r="B52" s="14" t="str">
        <x:v>Feni</x:v>
      </x:c>
      <x:c r="C52" s="14" t="str">
        <x:v>Feni University</x:v>
      </x:c>
      <x:c r="D52" s="14" t="str">
        <x:v>University</x:v>
      </x:c>
      <x:c r="E52" s="14" t="str">
        <x:v>Private</x:v>
      </x:c>
      <x:c r="F52" s="14" t="str">
        <x:v>General</x:v>
      </x:c>
      <x:c r="G52" s="14" t="str"/>
      <x:c r="H52" s="14" t="str"/>
      <x:c r="I52" s="14" t="str">
        <x:v>https://www.ugc-universities.gov.bd/private-universities</x:v>
      </x:c>
    </x:row>
    <x:row r="53">
      <x:c r="A53" s="14" t="str">
        <x:v>Chattogram</x:v>
      </x:c>
      <x:c r="B53" s="14" t="str">
        <x:v>Lakshmipur</x:v>
      </x:c>
      <x:c r="C53" s="14" t="str">
        <x:v>Lakshmipur Science and Technology University</x:v>
      </x:c>
      <x:c r="D53" s="14" t="str">
        <x:v>University</x:v>
      </x:c>
      <x:c r="E53" s="14" t="str">
        <x:v>Public</x:v>
      </x:c>
      <x:c r="F53" s="14" t="str">
        <x:v>Science &amp; Technology</x:v>
      </x:c>
      <x:c r="G53" s="14" t="str"/>
      <x:c r="H53" s="14" t="str"/>
      <x:c r="I53" s="14" t="str">
        <x:v>https://www.ugc-universities.gov.bd/</x:v>
      </x:c>
    </x:row>
    <x:row r="54">
      <x:c r="A54" s="14" t="str">
        <x:v>Chattogram</x:v>
      </x:c>
      <x:c r="B54" s="14" t="str">
        <x:v>Noakhali</x:v>
      </x:c>
      <x:c r="C54" s="14" t="str">
        <x:v>Noakhali Science and Technology University</x:v>
      </x:c>
      <x:c r="D54" s="14" t="str">
        <x:v>University</x:v>
      </x:c>
      <x:c r="E54" s="14" t="str">
        <x:v>Public</x:v>
      </x:c>
      <x:c r="F54" s="14" t="str">
        <x:v>Science &amp; Technology</x:v>
      </x:c>
      <x:c r="G54" s="14" t="str"/>
      <x:c r="H54" s="14" t="str"/>
      <x:c r="I54" s="14" t="str">
        <x:v>https://www.ugc-universities.gov.bd/</x:v>
      </x:c>
    </x:row>
    <x:row r="55">
      <x:c r="A55" s="14" t="str">
        <x:v>Chattogram</x:v>
      </x:c>
      <x:c r="B55" s="14" t="str">
        <x:v>Noakhali</x:v>
      </x:c>
      <x:c r="C55" s="14" t="str">
        <x:v>Noakhali Medical College</x:v>
      </x:c>
      <x:c r="D55" s="14" t="str">
        <x:v>Medical College</x:v>
      </x:c>
      <x:c r="E55" s="14" t="str">
        <x:v>Public</x:v>
      </x:c>
      <x:c r="F55" s="14" t="str">
        <x:v>MBBS</x:v>
      </x:c>
      <x:c r="G55" s="14" t="str"/>
      <x:c r="H55" s="14" t="str"/>
      <x:c r="I55" s="14" t="str">
        <x:v>https://en.wikipedia.org/wiki/List_of_medical_colleges_in_Bangladesh</x:v>
      </x:c>
    </x:row>
    <x:row r="56">
      <x:c r="A56" s="14" t="str">
        <x:v>Chattogram</x:v>
      </x:c>
      <x:c r="B56" s="14" t="str">
        <x:v>Rangamati</x:v>
      </x:c>
      <x:c r="C56" s="14" t="str">
        <x:v>Rangamati Science and Technology University</x:v>
      </x:c>
      <x:c r="D56" s="14" t="str">
        <x:v>University</x:v>
      </x:c>
      <x:c r="E56" s="14" t="str">
        <x:v>Public</x:v>
      </x:c>
      <x:c r="F56" s="14" t="str">
        <x:v>Science &amp; Technology</x:v>
      </x:c>
      <x:c r="G56" s="14" t="str"/>
      <x:c r="H56" s="14" t="str"/>
      <x:c r="I56" s="14" t="str">
        <x:v>https://www.ugc-universities.gov.bd/</x:v>
      </x:c>
    </x:row>
    <x:row r="57">
      <x:c r="A57" s="14" t="str">
        <x:v>Chattogram</x:v>
      </x:c>
      <x:c r="B57" s="14" t="str">
        <x:v>Rangamati</x:v>
      </x:c>
      <x:c r="C57" s="14" t="str">
        <x:v>Rangamati Medical College</x:v>
      </x:c>
      <x:c r="D57" s="14" t="str">
        <x:v>Medical College</x:v>
      </x:c>
      <x:c r="E57" s="14" t="str">
        <x:v>Public</x:v>
      </x:c>
      <x:c r="F57" s="14" t="str">
        <x:v>MBBS</x:v>
      </x:c>
      <x:c r="G57" s="14" t="str"/>
      <x:c r="H57" s="14" t="str"/>
      <x:c r="I57" s="14" t="str">
        <x:v>https://en.wikipedia.org/wiki/List_of_medical_colleges_in_Bangladesh</x:v>
      </x:c>
    </x:row>
    <x:row r="58">
      <x:c r="A58" s="14" t="str">
        <x:v>Dhaka</x:v>
      </x:c>
      <x:c r="B58" s="14" t="str">
        <x:v>Dhaka</x:v>
      </x:c>
      <x:c r="C58" s="14" t="str">
        <x:v>Bangladesh Maritime University</x:v>
      </x:c>
      <x:c r="D58" s="14" t="str">
        <x:v>University</x:v>
      </x:c>
      <x:c r="E58" s="14" t="str">
        <x:v>Public</x:v>
      </x:c>
      <x:c r="F58" s="14" t="str">
        <x:v>Maritime</x:v>
      </x:c>
      <x:c r="G58" s="14" t="str"/>
      <x:c r="H58" s="14" t="str"/>
      <x:c r="I58" s="14" t="str">
        <x:v>https://www.ugc-universities.gov.bd/</x:v>
      </x:c>
    </x:row>
    <x:row r="59">
      <x:c r="A59" s="14" t="str">
        <x:v>Dhaka</x:v>
      </x:c>
      <x:c r="B59" s="14" t="str">
        <x:v>Dhaka</x:v>
      </x:c>
      <x:c r="C59" s="14" t="str">
        <x:v>Bangladesh Medical University</x:v>
      </x:c>
      <x:c r="D59" s="14" t="str">
        <x:v>University</x:v>
      </x:c>
      <x:c r="E59" s="14" t="str">
        <x:v>Public</x:v>
      </x:c>
      <x:c r="F59" s="14" t="str">
        <x:v>Medical University</x:v>
      </x:c>
      <x:c r="G59" s="14" t="str"/>
      <x:c r="H59" s="14" t="str"/>
      <x:c r="I59" s="14" t="str">
        <x:v>https://en.wikipedia.org/wiki/List_of_medical_colleges_in_Bangladesh</x:v>
      </x:c>
    </x:row>
    <x:row r="60">
      <x:c r="A60" s="14" t="str">
        <x:v>Dhaka</x:v>
      </x:c>
      <x:c r="B60" s="14" t="str">
        <x:v>Dhaka</x:v>
      </x:c>
      <x:c r="C60" s="14" t="str">
        <x:v>Bangladesh University of Engineering and Technology</x:v>
      </x:c>
      <x:c r="D60" s="14" t="str">
        <x:v>University</x:v>
      </x:c>
      <x:c r="E60" s="14" t="str">
        <x:v>Public</x:v>
      </x:c>
      <x:c r="F60" s="14" t="str">
        <x:v>Engineering</x:v>
      </x:c>
      <x:c r="G60" s="14" t="str"/>
      <x:c r="H60" s="14" t="str"/>
      <x:c r="I60" s="14" t="str">
        <x:v>https://www.ugc-universities.gov.bd/</x:v>
      </x:c>
    </x:row>
    <x:row r="61">
      <x:c r="A61" s="14" t="str">
        <x:v>Dhaka</x:v>
      </x:c>
      <x:c r="B61" s="14" t="str">
        <x:v>Dhaka</x:v>
      </x:c>
      <x:c r="C61" s="14" t="str">
        <x:v>Bangladesh University of Professionals</x:v>
      </x:c>
      <x:c r="D61" s="14" t="str">
        <x:v>University</x:v>
      </x:c>
      <x:c r="E61" s="14" t="str">
        <x:v>Public</x:v>
      </x:c>
      <x:c r="F61" s="14" t="str">
        <x:v>Specialized / Professional</x:v>
      </x:c>
      <x:c r="G61" s="14" t="str"/>
      <x:c r="H61" s="14" t="str"/>
      <x:c r="I61" s="14" t="str">
        <x:v>https://www.ugc-universities.gov.bd/</x:v>
      </x:c>
    </x:row>
    <x:row r="62">
      <x:c r="A62" s="14" t="str">
        <x:v>Dhaka</x:v>
      </x:c>
      <x:c r="B62" s="14" t="str">
        <x:v>Dhaka</x:v>
      </x:c>
      <x:c r="C62" s="14" t="str">
        <x:v>Bangladesh University of Textiles</x:v>
      </x:c>
      <x:c r="D62" s="14" t="str">
        <x:v>University</x:v>
      </x:c>
      <x:c r="E62" s="14" t="str">
        <x:v>Public</x:v>
      </x:c>
      <x:c r="F62" s="14" t="str">
        <x:v>Textile</x:v>
      </x:c>
      <x:c r="G62" s="14" t="str"/>
      <x:c r="H62" s="14" t="str"/>
      <x:c r="I62" s="14" t="str">
        <x:v>https://www.ugc-universities.gov.bd/</x:v>
      </x:c>
    </x:row>
    <x:row r="63">
      <x:c r="A63" s="14" t="str">
        <x:v>Dhaka</x:v>
      </x:c>
      <x:c r="B63" s="14" t="str">
        <x:v>Dhaka</x:v>
      </x:c>
      <x:c r="C63" s="14" t="str">
        <x:v>Dhaka Central University</x:v>
      </x:c>
      <x:c r="D63" s="14" t="str">
        <x:v>University</x:v>
      </x:c>
      <x:c r="E63" s="14" t="str">
        <x:v>Public</x:v>
      </x:c>
      <x:c r="F63" s="14" t="str">
        <x:v>Specialized / Public</x:v>
      </x:c>
      <x:c r="G63" s="14" t="str"/>
      <x:c r="H63" s="14" t="str"/>
      <x:c r="I63" s="14" t="str">
        <x:v>https://www.ugc-universities.gov.bd/</x:v>
      </x:c>
    </x:row>
    <x:row r="64">
      <x:c r="A64" s="14" t="str">
        <x:v>Dhaka</x:v>
      </x:c>
      <x:c r="B64" s="14" t="str">
        <x:v>Dhaka</x:v>
      </x:c>
      <x:c r="C64" s="14" t="str">
        <x:v>Islamic Arabic University</x:v>
      </x:c>
      <x:c r="D64" s="14" t="str">
        <x:v>University</x:v>
      </x:c>
      <x:c r="E64" s="14" t="str">
        <x:v>Public</x:v>
      </x:c>
      <x:c r="F64" s="14" t="str">
        <x:v>Affiliating / Arabic-Islamic education</x:v>
      </x:c>
      <x:c r="G64" s="14" t="str"/>
      <x:c r="H64" s="14" t="str"/>
      <x:c r="I64" s="14" t="str">
        <x:v>https://www.ugc-universities.gov.bd/</x:v>
      </x:c>
    </x:row>
    <x:row r="65">
      <x:c r="A65" s="14" t="str">
        <x:v>Dhaka</x:v>
      </x:c>
      <x:c r="B65" s="14" t="str">
        <x:v>Dhaka</x:v>
      </x:c>
      <x:c r="C65" s="14" t="str">
        <x:v>Jagannath University</x:v>
      </x:c>
      <x:c r="D65" s="14" t="str">
        <x:v>University</x:v>
      </x:c>
      <x:c r="E65" s="14" t="str">
        <x:v>Public</x:v>
      </x:c>
      <x:c r="F65" s="14" t="str">
        <x:v>General</x:v>
      </x:c>
      <x:c r="G65" s="14" t="str"/>
      <x:c r="H65" s="14" t="str"/>
      <x:c r="I65" s="14" t="str">
        <x:v>https://www.ugc-universities.gov.bd/</x:v>
      </x:c>
    </x:row>
    <x:row r="66">
      <x:c r="A66" s="14" t="str">
        <x:v>Dhaka</x:v>
      </x:c>
      <x:c r="B66" s="14" t="str">
        <x:v>Dhaka</x:v>
      </x:c>
      <x:c r="C66" s="14" t="str">
        <x:v>Jahangirnagar University</x:v>
      </x:c>
      <x:c r="D66" s="14" t="str">
        <x:v>University</x:v>
      </x:c>
      <x:c r="E66" s="14" t="str">
        <x:v>Public</x:v>
      </x:c>
      <x:c r="F66" s="14" t="str">
        <x:v>General</x:v>
      </x:c>
      <x:c r="G66" s="14" t="str"/>
      <x:c r="H66" s="14" t="str"/>
      <x:c r="I66" s="14" t="str">
        <x:v>https://www.ugc-universities.gov.bd/</x:v>
      </x:c>
    </x:row>
    <x:row r="67">
      <x:c r="A67" s="14" t="str">
        <x:v>Dhaka</x:v>
      </x:c>
      <x:c r="B67" s="14" t="str">
        <x:v>Dhaka</x:v>
      </x:c>
      <x:c r="C67" s="14" t="str">
        <x:v>Military Institute of Science and Technology</x:v>
      </x:c>
      <x:c r="D67" s="14" t="str">
        <x:v>University</x:v>
      </x:c>
      <x:c r="E67" s="14" t="str">
        <x:v>Public</x:v>
      </x:c>
      <x:c r="F67" s="14" t="str">
        <x:v>Engineering / Military-run public</x:v>
      </x:c>
      <x:c r="G67" s="14" t="str"/>
      <x:c r="H67" s="14" t="str"/>
      <x:c r="I67" s="14" t="str">
        <x:v>https://www.ugc-universities.gov.bd/</x:v>
      </x:c>
    </x:row>
    <x:row r="68">
      <x:c r="A68" s="14" t="str">
        <x:v>Dhaka</x:v>
      </x:c>
      <x:c r="B68" s="14" t="str">
        <x:v>Dhaka</x:v>
      </x:c>
      <x:c r="C68" s="14" t="str">
        <x:v>Sher-e-Bangla Agricultural University</x:v>
      </x:c>
      <x:c r="D68" s="14" t="str">
        <x:v>University</x:v>
      </x:c>
      <x:c r="E68" s="14" t="str">
        <x:v>Public</x:v>
      </x:c>
      <x:c r="F68" s="14" t="str">
        <x:v>Agricultural</x:v>
      </x:c>
      <x:c r="G68" s="14" t="str"/>
      <x:c r="H68" s="14" t="str"/>
      <x:c r="I68" s="14" t="str">
        <x:v>https://www.ugc-universities.gov.bd/</x:v>
      </x:c>
    </x:row>
    <x:row r="69">
      <x:c r="A69" s="14" t="str">
        <x:v>Dhaka</x:v>
      </x:c>
      <x:c r="B69" s="14" t="str">
        <x:v>Dhaka</x:v>
      </x:c>
      <x:c r="C69" s="14" t="str">
        <x:v>University of Dhaka</x:v>
      </x:c>
      <x:c r="D69" s="14" t="str">
        <x:v>University</x:v>
      </x:c>
      <x:c r="E69" s="14" t="str">
        <x:v>Public</x:v>
      </x:c>
      <x:c r="F69" s="14" t="str">
        <x:v>General</x:v>
      </x:c>
      <x:c r="G69" s="14" t="str"/>
      <x:c r="H69" s="14" t="str"/>
      <x:c r="I69" s="14" t="str">
        <x:v>https://www.ugc-universities.gov.bd/</x:v>
      </x:c>
    </x:row>
    <x:row r="70">
      <x:c r="A70" s="14" t="str">
        <x:v>Dhaka</x:v>
      </x:c>
      <x:c r="B70" s="14" t="str">
        <x:v>Dhaka</x:v>
      </x:c>
      <x:c r="C70" s="14" t="str">
        <x:v>ASA University Bangladesh</x:v>
      </x:c>
      <x:c r="D70" s="14" t="str">
        <x:v>University</x:v>
      </x:c>
      <x:c r="E70" s="14" t="str">
        <x:v>Private</x:v>
      </x:c>
      <x:c r="F70" s="14" t="str">
        <x:v>General</x:v>
      </x:c>
      <x:c r="G70" s="14" t="str"/>
      <x:c r="H70" s="14" t="str"/>
      <x:c r="I70" s="14" t="str">
        <x:v>https://www.ugc-universities.gov.bd/private-universities</x:v>
      </x:c>
    </x:row>
    <x:row r="71">
      <x:c r="A71" s="14" t="str">
        <x:v>Dhaka</x:v>
      </x:c>
      <x:c r="B71" s="14" t="str">
        <x:v>Dhaka</x:v>
      </x:c>
      <x:c r="C71" s="14" t="str">
        <x:v>Ahsanullah University of Science and Technology</x:v>
      </x:c>
      <x:c r="D71" s="14" t="str">
        <x:v>University</x:v>
      </x:c>
      <x:c r="E71" s="14" t="str">
        <x:v>Private</x:v>
      </x:c>
      <x:c r="F71" s="14" t="str">
        <x:v>Science &amp; Technology</x:v>
      </x:c>
      <x:c r="G71" s="14" t="str"/>
      <x:c r="H71" s="14" t="str"/>
      <x:c r="I71" s="14" t="str">
        <x:v>https://www.ugc-universities.gov.bd/private-universities</x:v>
      </x:c>
    </x:row>
    <x:row r="72">
      <x:c r="A72" s="14" t="str">
        <x:v>Dhaka</x:v>
      </x:c>
      <x:c r="B72" s="14" t="str">
        <x:v>Dhaka</x:v>
      </x:c>
      <x:c r="C72" s="14" t="str">
        <x:v>America Bangladesh University</x:v>
      </x:c>
      <x:c r="D72" s="14" t="str">
        <x:v>University</x:v>
      </x:c>
      <x:c r="E72" s="14" t="str">
        <x:v>Private</x:v>
      </x:c>
      <x:c r="F72" s="14" t="str">
        <x:v>General</x:v>
      </x:c>
      <x:c r="G72" s="14" t="str"/>
      <x:c r="H72" s="14" t="str">
        <x:v>UGC has warned certificates/activities may have no legal validity; verify before admission</x:v>
      </x:c>
      <x:c r="I72" s="14" t="str">
        <x:v>https://www.ugc-universities.gov.bd/private-universities</x:v>
      </x:c>
    </x:row>
    <x:row r="73">
      <x:c r="A73" s="14" t="str">
        <x:v>Dhaka</x:v>
      </x:c>
      <x:c r="B73" s="14" t="str">
        <x:v>Dhaka</x:v>
      </x:c>
      <x:c r="C73" s="14" t="str">
        <x:v>American International University-Bangladesh</x:v>
      </x:c>
      <x:c r="D73" s="14" t="str">
        <x:v>University</x:v>
      </x:c>
      <x:c r="E73" s="14" t="str">
        <x:v>Private</x:v>
      </x:c>
      <x:c r="F73" s="14" t="str">
        <x:v>General</x:v>
      </x:c>
      <x:c r="G73" s="14" t="str"/>
      <x:c r="H73" s="14" t="str"/>
      <x:c r="I73" s="14" t="str">
        <x:v>https://www.ugc-universities.gov.bd/private-universities</x:v>
      </x:c>
    </x:row>
    <x:row r="74">
      <x:c r="A74" s="14" t="str">
        <x:v>Dhaka</x:v>
      </x:c>
      <x:c r="B74" s="14" t="str">
        <x:v>Dhaka</x:v>
      </x:c>
      <x:c r="C74" s="14" t="str">
        <x:v>Anwer Khan Modern University</x:v>
      </x:c>
      <x:c r="D74" s="14" t="str">
        <x:v>University</x:v>
      </x:c>
      <x:c r="E74" s="14" t="str">
        <x:v>Private</x:v>
      </x:c>
      <x:c r="F74" s="14" t="str">
        <x:v>General</x:v>
      </x:c>
      <x:c r="G74" s="14" t="str"/>
      <x:c r="H74" s="14" t="str"/>
      <x:c r="I74" s="14" t="str">
        <x:v>https://www.ugc-universities.gov.bd/private-universities</x:v>
      </x:c>
    </x:row>
    <x:row r="75">
      <x:c r="A75" s="14" t="str">
        <x:v>Dhaka</x:v>
      </x:c>
      <x:c r="B75" s="14" t="str">
        <x:v>Dhaka</x:v>
      </x:c>
      <x:c r="C75" s="14" t="str">
        <x:v>Asian University of Bangladesh</x:v>
      </x:c>
      <x:c r="D75" s="14" t="str">
        <x:v>University</x:v>
      </x:c>
      <x:c r="E75" s="14" t="str">
        <x:v>Private</x:v>
      </x:c>
      <x:c r="F75" s="14" t="str">
        <x:v>General</x:v>
      </x:c>
      <x:c r="G75" s="14" t="str"/>
      <x:c r="H75" s="14" t="str"/>
      <x:c r="I75" s="14" t="str">
        <x:v>https://www.ugc-universities.gov.bd/private-universities</x:v>
      </x:c>
    </x:row>
    <x:row r="76">
      <x:c r="A76" s="14" t="str">
        <x:v>Dhaka</x:v>
      </x:c>
      <x:c r="B76" s="14" t="str">
        <x:v>Dhaka</x:v>
      </x:c>
      <x:c r="C76" s="14" t="str">
        <x:v>Atish Dipankar University of Science and Technology</x:v>
      </x:c>
      <x:c r="D76" s="14" t="str">
        <x:v>University</x:v>
      </x:c>
      <x:c r="E76" s="14" t="str">
        <x:v>Private</x:v>
      </x:c>
      <x:c r="F76" s="14" t="str">
        <x:v>Science &amp; Technology</x:v>
      </x:c>
      <x:c r="G76" s="14" t="str"/>
      <x:c r="H76" s="14" t="str"/>
      <x:c r="I76" s="14" t="str">
        <x:v>https://www.ugc-universities.gov.bd/private-universities</x:v>
      </x:c>
    </x:row>
    <x:row r="77">
      <x:c r="A77" s="14" t="str">
        <x:v>Dhaka</x:v>
      </x:c>
      <x:c r="B77" s="14" t="str">
        <x:v>Dhaka</x:v>
      </x:c>
      <x:c r="C77" s="14" t="str">
        <x:v>BRAC University</x:v>
      </x:c>
      <x:c r="D77" s="14" t="str">
        <x:v>University</x:v>
      </x:c>
      <x:c r="E77" s="14" t="str">
        <x:v>Private</x:v>
      </x:c>
      <x:c r="F77" s="14" t="str">
        <x:v>General</x:v>
      </x:c>
      <x:c r="G77" s="14" t="str"/>
      <x:c r="H77" s="14" t="str"/>
      <x:c r="I77" s="14" t="str">
        <x:v>https://www.ugc-universities.gov.bd/private-universities</x:v>
      </x:c>
    </x:row>
    <x:row r="78">
      <x:c r="A78" s="14" t="str">
        <x:v>Dhaka</x:v>
      </x:c>
      <x:c r="B78" s="14" t="str">
        <x:v>Dhaka</x:v>
      </x:c>
      <x:c r="C78" s="14" t="str">
        <x:v>Bangladesh Islami University</x:v>
      </x:c>
      <x:c r="D78" s="14" t="str">
        <x:v>University</x:v>
      </x:c>
      <x:c r="E78" s="14" t="str">
        <x:v>Private</x:v>
      </x:c>
      <x:c r="F78" s="14" t="str">
        <x:v>General</x:v>
      </x:c>
      <x:c r="G78" s="14" t="str"/>
      <x:c r="H78" s="14" t="str"/>
      <x:c r="I78" s="14" t="str">
        <x:v>https://www.ugc-universities.gov.bd/private-universities</x:v>
      </x:c>
    </x:row>
    <x:row r="79">
      <x:c r="A79" s="14" t="str">
        <x:v>Dhaka</x:v>
      </x:c>
      <x:c r="B79" s="14" t="str">
        <x:v>Dhaka</x:v>
      </x:c>
      <x:c r="C79" s="14" t="str">
        <x:v>Bangladesh University</x:v>
      </x:c>
      <x:c r="D79" s="14" t="str">
        <x:v>University</x:v>
      </x:c>
      <x:c r="E79" s="14" t="str">
        <x:v>Private</x:v>
      </x:c>
      <x:c r="F79" s="14" t="str">
        <x:v>General</x:v>
      </x:c>
      <x:c r="G79" s="14" t="str"/>
      <x:c r="H79" s="14" t="str"/>
      <x:c r="I79" s="14" t="str">
        <x:v>https://www.ugc-universities.gov.bd/private-universities</x:v>
      </x:c>
    </x:row>
    <x:row r="80">
      <x:c r="A80" s="14" t="str">
        <x:v>Dhaka</x:v>
      </x:c>
      <x:c r="B80" s="14" t="str">
        <x:v>Dhaka</x:v>
      </x:c>
      <x:c r="C80" s="14" t="str">
        <x:v>Bangladesh University of Business and Technology</x:v>
      </x:c>
      <x:c r="D80" s="14" t="str">
        <x:v>University</x:v>
      </x:c>
      <x:c r="E80" s="14" t="str">
        <x:v>Private</x:v>
      </x:c>
      <x:c r="F80" s="14" t="str">
        <x:v>Science &amp; Technology / Business</x:v>
      </x:c>
      <x:c r="G80" s="14" t="str"/>
      <x:c r="H80" s="14" t="str"/>
      <x:c r="I80" s="14" t="str">
        <x:v>https://www.ugc-universities.gov.bd/private-universities</x:v>
      </x:c>
    </x:row>
    <x:row r="81">
      <x:c r="A81" s="14" t="str">
        <x:v>Dhaka</x:v>
      </x:c>
      <x:c r="B81" s="14" t="str">
        <x:v>Dhaka</x:v>
      </x:c>
      <x:c r="C81" s="14" t="str">
        <x:v>Bangladesh University of Fashion and Technology</x:v>
      </x:c>
      <x:c r="D81" s="14" t="str">
        <x:v>University</x:v>
      </x:c>
      <x:c r="E81" s="14" t="str">
        <x:v>Private</x:v>
      </x:c>
      <x:c r="F81" s="14" t="str">
        <x:v>Specialized / Fashion &amp; textile</x:v>
      </x:c>
      <x:c r="G81" s="14" t="str"/>
      <x:c r="H81" s="14" t="str"/>
      <x:c r="I81" s="14" t="str">
        <x:v>https://www.ugc-universities.gov.bd/private-universities</x:v>
      </x:c>
    </x:row>
    <x:row r="82">
      <x:c r="A82" s="14" t="str">
        <x:v>Dhaka</x:v>
      </x:c>
      <x:c r="B82" s="14" t="str">
        <x:v>Dhaka</x:v>
      </x:c>
      <x:c r="C82" s="14" t="str">
        <x:v>Bangladesh University of Health Sciences</x:v>
      </x:c>
      <x:c r="D82" s="14" t="str">
        <x:v>University</x:v>
      </x:c>
      <x:c r="E82" s="14" t="str">
        <x:v>Private</x:v>
      </x:c>
      <x:c r="F82" s="14" t="str">
        <x:v>Health sciences</x:v>
      </x:c>
      <x:c r="G82" s="14" t="str"/>
      <x:c r="H82" s="14" t="str"/>
      <x:c r="I82" s="14" t="str">
        <x:v>https://www.ugc-universities.gov.bd/private-universities</x:v>
      </x:c>
    </x:row>
    <x:row r="83">
      <x:c r="A83" s="14" t="str">
        <x:v>Dhaka</x:v>
      </x:c>
      <x:c r="B83" s="14" t="str">
        <x:v>Dhaka</x:v>
      </x:c>
      <x:c r="C83" s="14" t="str">
        <x:v>Canadian University of Bangladesh</x:v>
      </x:c>
      <x:c r="D83" s="14" t="str">
        <x:v>University</x:v>
      </x:c>
      <x:c r="E83" s="14" t="str">
        <x:v>Private</x:v>
      </x:c>
      <x:c r="F83" s="14" t="str">
        <x:v>General</x:v>
      </x:c>
      <x:c r="G83" s="14" t="str"/>
      <x:c r="H83" s="14" t="str"/>
      <x:c r="I83" s="14" t="str">
        <x:v>https://www.ugc-universities.gov.bd/private-universities</x:v>
      </x:c>
    </x:row>
    <x:row r="84">
      <x:c r="A84" s="14" t="str">
        <x:v>Dhaka</x:v>
      </x:c>
      <x:c r="B84" s="14" t="str">
        <x:v>Dhaka</x:v>
      </x:c>
      <x:c r="C84" s="14" t="str">
        <x:v>Central University of Science and Technology</x:v>
      </x:c>
      <x:c r="D84" s="14" t="str">
        <x:v>University</x:v>
      </x:c>
      <x:c r="E84" s="14" t="str">
        <x:v>Private</x:v>
      </x:c>
      <x:c r="F84" s="14" t="str">
        <x:v>Science &amp; Technology</x:v>
      </x:c>
      <x:c r="G84" s="14" t="str"/>
      <x:c r="H84" s="14" t="str"/>
      <x:c r="I84" s="14" t="str">
        <x:v>https://www.ugc-universities.gov.bd/private-universities</x:v>
      </x:c>
    </x:row>
    <x:row r="85">
      <x:c r="A85" s="14" t="str">
        <x:v>Dhaka</x:v>
      </x:c>
      <x:c r="B85" s="14" t="str">
        <x:v>Dhaka</x:v>
      </x:c>
      <x:c r="C85" s="14" t="str">
        <x:v>Central Women's University</x:v>
      </x:c>
      <x:c r="D85" s="14" t="str">
        <x:v>University</x:v>
      </x:c>
      <x:c r="E85" s="14" t="str">
        <x:v>Private</x:v>
      </x:c>
      <x:c r="F85" s="14" t="str">
        <x:v>Women's university</x:v>
      </x:c>
      <x:c r="G85" s="14" t="str"/>
      <x:c r="H85" s="14" t="str"/>
      <x:c r="I85" s="14" t="str">
        <x:v>https://www.ugc-universities.gov.bd/private-universities</x:v>
      </x:c>
    </x:row>
    <x:row r="86">
      <x:c r="A86" s="14" t="str">
        <x:v>Dhaka</x:v>
      </x:c>
      <x:c r="B86" s="14" t="str">
        <x:v>Dhaka</x:v>
      </x:c>
      <x:c r="C86" s="14" t="str">
        <x:v>City University</x:v>
      </x:c>
      <x:c r="D86" s="14" t="str">
        <x:v>University</x:v>
      </x:c>
      <x:c r="E86" s="14" t="str">
        <x:v>Private</x:v>
      </x:c>
      <x:c r="F86" s="14" t="str">
        <x:v>General</x:v>
      </x:c>
      <x:c r="G86" s="14" t="str"/>
      <x:c r="H86" s="14" t="str"/>
      <x:c r="I86" s="14" t="str">
        <x:v>https://www.ugc-universities.gov.bd/private-universities</x:v>
      </x:c>
    </x:row>
    <x:row r="87">
      <x:c r="A87" s="14" t="str">
        <x:v>Dhaka</x:v>
      </x:c>
      <x:c r="B87" s="14" t="str">
        <x:v>Dhaka</x:v>
      </x:c>
      <x:c r="C87" s="14" t="str">
        <x:v>Daffodil International University</x:v>
      </x:c>
      <x:c r="D87" s="14" t="str">
        <x:v>University</x:v>
      </x:c>
      <x:c r="E87" s="14" t="str">
        <x:v>Private</x:v>
      </x:c>
      <x:c r="F87" s="14" t="str">
        <x:v>General</x:v>
      </x:c>
      <x:c r="G87" s="14" t="str"/>
      <x:c r="H87" s="14" t="str"/>
      <x:c r="I87" s="14" t="str">
        <x:v>https://www.ugc-universities.gov.bd/private-universities</x:v>
      </x:c>
    </x:row>
    <x:row r="88">
      <x:c r="A88" s="14" t="str">
        <x:v>Dhaka</x:v>
      </x:c>
      <x:c r="B88" s="14" t="str">
        <x:v>Dhaka</x:v>
      </x:c>
      <x:c r="C88" s="14" t="str">
        <x:v>Dhaka International University</x:v>
      </x:c>
      <x:c r="D88" s="14" t="str">
        <x:v>University</x:v>
      </x:c>
      <x:c r="E88" s="14" t="str">
        <x:v>Private</x:v>
      </x:c>
      <x:c r="F88" s="14" t="str">
        <x:v>General</x:v>
      </x:c>
      <x:c r="G88" s="14" t="str"/>
      <x:c r="H88" s="14" t="str"/>
      <x:c r="I88" s="14" t="str">
        <x:v>https://www.ugc-universities.gov.bd/private-universities</x:v>
      </x:c>
    </x:row>
    <x:row r="89">
      <x:c r="A89" s="14" t="str">
        <x:v>Dhaka</x:v>
      </x:c>
      <x:c r="B89" s="14" t="str">
        <x:v>Dhaka</x:v>
      </x:c>
      <x:c r="C89" s="14" t="str">
        <x:v>East West University</x:v>
      </x:c>
      <x:c r="D89" s="14" t="str">
        <x:v>University</x:v>
      </x:c>
      <x:c r="E89" s="14" t="str">
        <x:v>Private</x:v>
      </x:c>
      <x:c r="F89" s="14" t="str">
        <x:v>General</x:v>
      </x:c>
      <x:c r="G89" s="14" t="str"/>
      <x:c r="H89" s="14" t="str"/>
      <x:c r="I89" s="14" t="str">
        <x:v>https://www.ugc-universities.gov.bd/private-universities</x:v>
      </x:c>
    </x:row>
    <x:row r="90">
      <x:c r="A90" s="14" t="str">
        <x:v>Dhaka</x:v>
      </x:c>
      <x:c r="B90" s="14" t="str">
        <x:v>Dhaka</x:v>
      </x:c>
      <x:c r="C90" s="14" t="str">
        <x:v>Eastern University</x:v>
      </x:c>
      <x:c r="D90" s="14" t="str">
        <x:v>University</x:v>
      </x:c>
      <x:c r="E90" s="14" t="str">
        <x:v>Private</x:v>
      </x:c>
      <x:c r="F90" s="14" t="str">
        <x:v>General</x:v>
      </x:c>
      <x:c r="G90" s="14" t="str"/>
      <x:c r="H90" s="14" t="str"/>
      <x:c r="I90" s="14" t="str">
        <x:v>https://www.ugc-universities.gov.bd/private-universities</x:v>
      </x:c>
    </x:row>
    <x:row r="91">
      <x:c r="A91" s="14" t="str">
        <x:v>Dhaka</x:v>
      </x:c>
      <x:c r="B91" s="14" t="str">
        <x:v>Dhaka</x:v>
      </x:c>
      <x:c r="C91" s="14" t="str">
        <x:v>European University of Bangladesh</x:v>
      </x:c>
      <x:c r="D91" s="14" t="str">
        <x:v>University</x:v>
      </x:c>
      <x:c r="E91" s="14" t="str">
        <x:v>Private</x:v>
      </x:c>
      <x:c r="F91" s="14" t="str">
        <x:v>General</x:v>
      </x:c>
      <x:c r="G91" s="14" t="str"/>
      <x:c r="H91" s="14" t="str"/>
      <x:c r="I91" s="14" t="str">
        <x:v>https://www.ugc-universities.gov.bd/private-universities</x:v>
      </x:c>
    </x:row>
    <x:row r="92">
      <x:c r="A92" s="14" t="str">
        <x:v>Dhaka</x:v>
      </x:c>
      <x:c r="B92" s="14" t="str">
        <x:v>Dhaka</x:v>
      </x:c>
      <x:c r="C92" s="14" t="str">
        <x:v>Fareast International University</x:v>
      </x:c>
      <x:c r="D92" s="14" t="str">
        <x:v>University</x:v>
      </x:c>
      <x:c r="E92" s="14" t="str">
        <x:v>Private</x:v>
      </x:c>
      <x:c r="F92" s="14" t="str">
        <x:v>General</x:v>
      </x:c>
      <x:c r="G92" s="14" t="str"/>
      <x:c r="H92" s="14" t="str"/>
      <x:c r="I92" s="14" t="str">
        <x:v>https://www.ugc-universities.gov.bd/private-universities</x:v>
      </x:c>
    </x:row>
    <x:row r="93">
      <x:c r="A93" s="14" t="str">
        <x:v>Dhaka</x:v>
      </x:c>
      <x:c r="B93" s="14" t="str">
        <x:v>Dhaka</x:v>
      </x:c>
      <x:c r="C93" s="14" t="str">
        <x:v>German University Bangladesh</x:v>
      </x:c>
      <x:c r="D93" s="14" t="str">
        <x:v>University</x:v>
      </x:c>
      <x:c r="E93" s="14" t="str">
        <x:v>Private</x:v>
      </x:c>
      <x:c r="F93" s="14" t="str">
        <x:v>General</x:v>
      </x:c>
      <x:c r="G93" s="14" t="str"/>
      <x:c r="H93" s="14" t="str"/>
      <x:c r="I93" s="14" t="str">
        <x:v>https://www.ugc-universities.gov.bd/private-universities</x:v>
      </x:c>
    </x:row>
    <x:row r="94">
      <x:c r="A94" s="14" t="str">
        <x:v>Dhaka</x:v>
      </x:c>
      <x:c r="B94" s="14" t="str">
        <x:v>Dhaka</x:v>
      </x:c>
      <x:c r="C94" s="14" t="str">
        <x:v>Gono Bishwabidyalay</x:v>
      </x:c>
      <x:c r="D94" s="14" t="str">
        <x:v>University</x:v>
      </x:c>
      <x:c r="E94" s="14" t="str">
        <x:v>Private</x:v>
      </x:c>
      <x:c r="F94" s="14" t="str">
        <x:v>General</x:v>
      </x:c>
      <x:c r="G94" s="14" t="str"/>
      <x:c r="H94" s="14" t="str">
        <x:v>Located at Savar, Dhaka district</x:v>
      </x:c>
      <x:c r="I94" s="14" t="str">
        <x:v>https://www.ugc-universities.gov.bd/private-universities</x:v>
      </x:c>
    </x:row>
    <x:row r="95">
      <x:c r="A95" s="14" t="str">
        <x:v>Dhaka</x:v>
      </x:c>
      <x:c r="B95" s="14" t="str">
        <x:v>Dhaka</x:v>
      </x:c>
      <x:c r="C95" s="14" t="str">
        <x:v>Grameen University</x:v>
      </x:c>
      <x:c r="D95" s="14" t="str">
        <x:v>University</x:v>
      </x:c>
      <x:c r="E95" s="14" t="str">
        <x:v>Private</x:v>
      </x:c>
      <x:c r="F95" s="14" t="str">
        <x:v>General</x:v>
      </x:c>
      <x:c r="G95" s="14" t="str"/>
      <x:c r="H95" s="14" t="str"/>
      <x:c r="I95" s="14" t="str">
        <x:v>https://www.ugc-universities.gov.bd/private-universities</x:v>
      </x:c>
    </x:row>
    <x:row r="96">
      <x:c r="A96" s="14" t="str">
        <x:v>Dhaka</x:v>
      </x:c>
      <x:c r="B96" s="14" t="str">
        <x:v>Dhaka</x:v>
      </x:c>
      <x:c r="C96" s="14" t="str">
        <x:v>Green University of Bangladesh</x:v>
      </x:c>
      <x:c r="D96" s="14" t="str">
        <x:v>University</x:v>
      </x:c>
      <x:c r="E96" s="14" t="str">
        <x:v>Private</x:v>
      </x:c>
      <x:c r="F96" s="14" t="str">
        <x:v>General</x:v>
      </x:c>
      <x:c r="G96" s="14" t="str"/>
      <x:c r="H96" s="14" t="str"/>
      <x:c r="I96" s="14" t="str">
        <x:v>https://www.ugc-universities.gov.bd/private-universities</x:v>
      </x:c>
    </x:row>
    <x:row r="97">
      <x:c r="A97" s="14" t="str">
        <x:v>Dhaka</x:v>
      </x:c>
      <x:c r="B97" s="14" t="str">
        <x:v>Dhaka</x:v>
      </x:c>
      <x:c r="C97" s="14" t="str">
        <x:v>Hamdard University Bangladesh</x:v>
      </x:c>
      <x:c r="D97" s="14" t="str">
        <x:v>University</x:v>
      </x:c>
      <x:c r="E97" s="14" t="str">
        <x:v>Private</x:v>
      </x:c>
      <x:c r="F97" s="14" t="str">
        <x:v>General</x:v>
      </x:c>
      <x:c r="G97" s="14" t="str"/>
      <x:c r="H97" s="14" t="str"/>
      <x:c r="I97" s="14" t="str">
        <x:v>https://www.ugc-universities.gov.bd/private-universities</x:v>
      </x:c>
    </x:row>
    <x:row r="98">
      <x:c r="A98" s="14" t="str">
        <x:v>Dhaka</x:v>
      </x:c>
      <x:c r="B98" s="14" t="str">
        <x:v>Dhaka</x:v>
      </x:c>
      <x:c r="C98" s="14" t="str">
        <x:v>IBAIS University</x:v>
      </x:c>
      <x:c r="D98" s="14" t="str">
        <x:v>University</x:v>
      </x:c>
      <x:c r="E98" s="14" t="str">
        <x:v>Private</x:v>
      </x:c>
      <x:c r="F98" s="14" t="str">
        <x:v>General</x:v>
      </x:c>
      <x:c r="G98" s="14" t="str"/>
      <x:c r="H98" s="14" t="str">
        <x:v>UGC list marks special status/irregularity; verify before admission</x:v>
      </x:c>
      <x:c r="I98" s="14" t="str">
        <x:v>https://www.ugc-universities.gov.bd/private-universities</x:v>
      </x:c>
    </x:row>
    <x:row r="99">
      <x:c r="A99" s="14" t="str">
        <x:v>Dhaka</x:v>
      </x:c>
      <x:c r="B99" s="14" t="str">
        <x:v>Dhaka</x:v>
      </x:c>
      <x:c r="C99" s="14" t="str">
        <x:v>Independent University, Bangladesh</x:v>
      </x:c>
      <x:c r="D99" s="14" t="str">
        <x:v>University</x:v>
      </x:c>
      <x:c r="E99" s="14" t="str">
        <x:v>Private</x:v>
      </x:c>
      <x:c r="F99" s="14" t="str">
        <x:v>General</x:v>
      </x:c>
      <x:c r="G99" s="14" t="str"/>
      <x:c r="H99" s="14" t="str"/>
      <x:c r="I99" s="14" t="str">
        <x:v>https://www.ugc-universities.gov.bd/private-universities</x:v>
      </x:c>
    </x:row>
    <x:row r="100">
      <x:c r="A100" s="14" t="str">
        <x:v>Dhaka</x:v>
      </x:c>
      <x:c r="B100" s="14" t="str">
        <x:v>Dhaka</x:v>
      </x:c>
      <x:c r="C100" s="14" t="str">
        <x:v>International Islami University of Science and Technology Bangladesh</x:v>
      </x:c>
      <x:c r="D100" s="14" t="str">
        <x:v>University</x:v>
      </x:c>
      <x:c r="E100" s="14" t="str">
        <x:v>Private</x:v>
      </x:c>
      <x:c r="F100" s="14" t="str">
        <x:v>Science &amp; Technology</x:v>
      </x:c>
      <x:c r="G100" s="14" t="str"/>
      <x:c r="H100" s="14" t="str"/>
      <x:c r="I100" s="14" t="str">
        <x:v>https://www.ugc-universities.gov.bd/private-universities</x:v>
      </x:c>
    </x:row>
    <x:row r="101">
      <x:c r="A101" s="14" t="str">
        <x:v>Dhaka</x:v>
      </x:c>
      <x:c r="B101" s="14" t="str">
        <x:v>Dhaka</x:v>
      </x:c>
      <x:c r="C101" s="14" t="str">
        <x:v>International Standard University</x:v>
      </x:c>
      <x:c r="D101" s="14" t="str">
        <x:v>University</x:v>
      </x:c>
      <x:c r="E101" s="14" t="str">
        <x:v>Private</x:v>
      </x:c>
      <x:c r="F101" s="14" t="str">
        <x:v>General</x:v>
      </x:c>
      <x:c r="G101" s="14" t="str"/>
      <x:c r="H101" s="14" t="str"/>
      <x:c r="I101" s="14" t="str">
        <x:v>https://www.ugc-universities.gov.bd/private-universities</x:v>
      </x:c>
    </x:row>
    <x:row r="102">
      <x:c r="A102" s="14" t="str">
        <x:v>Dhaka</x:v>
      </x:c>
      <x:c r="B102" s="14" t="str">
        <x:v>Dhaka</x:v>
      </x:c>
      <x:c r="C102" s="14" t="str">
        <x:v>International University of Business Agriculture and Technology</x:v>
      </x:c>
      <x:c r="D102" s="14" t="str">
        <x:v>University</x:v>
      </x:c>
      <x:c r="E102" s="14" t="str">
        <x:v>Private</x:v>
      </x:c>
      <x:c r="F102" s="14" t="str">
        <x:v>General</x:v>
      </x:c>
      <x:c r="G102" s="14" t="str"/>
      <x:c r="H102" s="14" t="str"/>
      <x:c r="I102" s="14" t="str">
        <x:v>https://www.ugc-universities.gov.bd/private-universities</x:v>
      </x:c>
    </x:row>
    <x:row r="103">
      <x:c r="A103" s="14" t="str">
        <x:v>Dhaka</x:v>
      </x:c>
      <x:c r="B103" s="14" t="str">
        <x:v>Dhaka</x:v>
      </x:c>
      <x:c r="C103" s="14" t="str">
        <x:v>Manarat International University</x:v>
      </x:c>
      <x:c r="D103" s="14" t="str">
        <x:v>University</x:v>
      </x:c>
      <x:c r="E103" s="14" t="str">
        <x:v>Private</x:v>
      </x:c>
      <x:c r="F103" s="14" t="str">
        <x:v>General</x:v>
      </x:c>
      <x:c r="G103" s="14" t="str"/>
      <x:c r="H103" s="14" t="str"/>
      <x:c r="I103" s="14" t="str">
        <x:v>https://www.ugc-universities.gov.bd/private-universities</x:v>
      </x:c>
    </x:row>
    <x:row r="104">
      <x:c r="A104" s="14" t="str">
        <x:v>Dhaka</x:v>
      </x:c>
      <x:c r="B104" s="14" t="str">
        <x:v>Dhaka</x:v>
      </x:c>
      <x:c r="C104" s="14" t="str">
        <x:v>Microland University of Science and Technology</x:v>
      </x:c>
      <x:c r="D104" s="14" t="str">
        <x:v>University</x:v>
      </x:c>
      <x:c r="E104" s="14" t="str">
        <x:v>Private</x:v>
      </x:c>
      <x:c r="F104" s="14" t="str">
        <x:v>Science &amp; Technology</x:v>
      </x:c>
      <x:c r="G104" s="14" t="str"/>
      <x:c r="H104" s="14" t="str">
        <x:v>Academic-program status should be checked with UGC</x:v>
      </x:c>
      <x:c r="I104" s="14" t="str">
        <x:v>https://www.ugc-universities.gov.bd/private-universities</x:v>
      </x:c>
    </x:row>
    <x:row r="105">
      <x:c r="A105" s="14" t="str">
        <x:v>Dhaka</x:v>
      </x:c>
      <x:c r="B105" s="14" t="str">
        <x:v>Dhaka</x:v>
      </x:c>
      <x:c r="C105" s="14" t="str">
        <x:v>North South University</x:v>
      </x:c>
      <x:c r="D105" s="14" t="str">
        <x:v>University</x:v>
      </x:c>
      <x:c r="E105" s="14" t="str">
        <x:v>Private</x:v>
      </x:c>
      <x:c r="F105" s="14" t="str">
        <x:v>General</x:v>
      </x:c>
      <x:c r="G105" s="14" t="str"/>
      <x:c r="H105" s="14" t="str"/>
      <x:c r="I105" s="14" t="str">
        <x:v>https://www.ugc-universities.gov.bd/private-universities</x:v>
      </x:c>
    </x:row>
    <x:row r="106">
      <x:c r="A106" s="14" t="str">
        <x:v>Dhaka</x:v>
      </x:c>
      <x:c r="B106" s="14" t="str">
        <x:v>Dhaka</x:v>
      </x:c>
      <x:c r="C106" s="14" t="str">
        <x:v>Northern University Bangladesh</x:v>
      </x:c>
      <x:c r="D106" s="14" t="str">
        <x:v>University</x:v>
      </x:c>
      <x:c r="E106" s="14" t="str">
        <x:v>Private</x:v>
      </x:c>
      <x:c r="F106" s="14" t="str">
        <x:v>General</x:v>
      </x:c>
      <x:c r="G106" s="14" t="str"/>
      <x:c r="H106" s="14" t="str"/>
      <x:c r="I106" s="14" t="str">
        <x:v>https://www.ugc-universities.gov.bd/private-universities</x:v>
      </x:c>
    </x:row>
    <x:row r="107">
      <x:c r="A107" s="14" t="str">
        <x:v>Dhaka</x:v>
      </x:c>
      <x:c r="B107" s="14" t="str">
        <x:v>Dhaka</x:v>
      </x:c>
      <x:c r="C107" s="14" t="str">
        <x:v>Notre Dame University Bangladesh</x:v>
      </x:c>
      <x:c r="D107" s="14" t="str">
        <x:v>University</x:v>
      </x:c>
      <x:c r="E107" s="14" t="str">
        <x:v>Private</x:v>
      </x:c>
      <x:c r="F107" s="14" t="str">
        <x:v>General</x:v>
      </x:c>
      <x:c r="G107" s="14" t="str"/>
      <x:c r="H107" s="14" t="str"/>
      <x:c r="I107" s="14" t="str">
        <x:v>https://www.ugc-universities.gov.bd/private-universities</x:v>
      </x:c>
    </x:row>
    <x:row r="108">
      <x:c r="A108" s="14" t="str">
        <x:v>Dhaka</x:v>
      </x:c>
      <x:c r="B108" s="14" t="str">
        <x:v>Dhaka</x:v>
      </x:c>
      <x:c r="C108" s="14" t="str">
        <x:v>Presidency University</x:v>
      </x:c>
      <x:c r="D108" s="14" t="str">
        <x:v>University</x:v>
      </x:c>
      <x:c r="E108" s="14" t="str">
        <x:v>Private</x:v>
      </x:c>
      <x:c r="F108" s="14" t="str">
        <x:v>General</x:v>
      </x:c>
      <x:c r="G108" s="14" t="str"/>
      <x:c r="H108" s="14" t="str"/>
      <x:c r="I108" s="14" t="str">
        <x:v>https://www.ugc-universities.gov.bd/private-universities</x:v>
      </x:c>
    </x:row>
    <x:row r="109">
      <x:c r="A109" s="14" t="str">
        <x:v>Dhaka</x:v>
      </x:c>
      <x:c r="B109" s="14" t="str">
        <x:v>Dhaka</x:v>
      </x:c>
      <x:c r="C109" s="14" t="str">
        <x:v>Prime University</x:v>
      </x:c>
      <x:c r="D109" s="14" t="str">
        <x:v>University</x:v>
      </x:c>
      <x:c r="E109" s="14" t="str">
        <x:v>Private</x:v>
      </x:c>
      <x:c r="F109" s="14" t="str">
        <x:v>General</x:v>
      </x:c>
      <x:c r="G109" s="14" t="str"/>
      <x:c r="H109" s="14" t="str"/>
      <x:c r="I109" s="14" t="str">
        <x:v>https://www.ugc-universities.gov.bd/private-universities</x:v>
      </x:c>
    </x:row>
    <x:row r="110">
      <x:c r="A110" s="14" t="str">
        <x:v>Dhaka</x:v>
      </x:c>
      <x:c r="B110" s="14" t="str">
        <x:v>Dhaka</x:v>
      </x:c>
      <x:c r="C110" s="14" t="str">
        <x:v>Primeasia University</x:v>
      </x:c>
      <x:c r="D110" s="14" t="str">
        <x:v>University</x:v>
      </x:c>
      <x:c r="E110" s="14" t="str">
        <x:v>Private</x:v>
      </x:c>
      <x:c r="F110" s="14" t="str">
        <x:v>General</x:v>
      </x:c>
      <x:c r="G110" s="14" t="str"/>
      <x:c r="H110" s="14" t="str"/>
      <x:c r="I110" s="14" t="str">
        <x:v>https://www.ugc-universities.gov.bd/private-universities</x:v>
      </x:c>
    </x:row>
    <x:row r="111">
      <x:c r="A111" s="14" t="str">
        <x:v>Dhaka</x:v>
      </x:c>
      <x:c r="B111" s="14" t="str">
        <x:v>Dhaka</x:v>
      </x:c>
      <x:c r="C111" s="14" t="str">
        <x:v>Royal University of Dhaka</x:v>
      </x:c>
      <x:c r="D111" s="14" t="str">
        <x:v>University</x:v>
      </x:c>
      <x:c r="E111" s="14" t="str">
        <x:v>Private</x:v>
      </x:c>
      <x:c r="F111" s="14" t="str">
        <x:v>General</x:v>
      </x:c>
      <x:c r="G111" s="14" t="str"/>
      <x:c r="H111" s="14" t="str"/>
      <x:c r="I111" s="14" t="str">
        <x:v>https://www.ugc-universities.gov.bd/private-universities</x:v>
      </x:c>
    </x:row>
    <x:row r="112">
      <x:c r="A112" s="14" t="str">
        <x:v>Dhaka</x:v>
      </x:c>
      <x:c r="B112" s="14" t="str">
        <x:v>Dhaka</x:v>
      </x:c>
      <x:c r="C112" s="14" t="str">
        <x:v>Shanto-Mariam University of Creative Technology</x:v>
      </x:c>
      <x:c r="D112" s="14" t="str">
        <x:v>University</x:v>
      </x:c>
      <x:c r="E112" s="14" t="str">
        <x:v>Private</x:v>
      </x:c>
      <x:c r="F112" s="14" t="str">
        <x:v>Creative technology</x:v>
      </x:c>
      <x:c r="G112" s="14" t="str"/>
      <x:c r="H112" s="14" t="str"/>
      <x:c r="I112" s="14" t="str">
        <x:v>https://www.ugc-universities.gov.bd/private-universities</x:v>
      </x:c>
    </x:row>
    <x:row r="113">
      <x:c r="A113" s="14" t="str">
        <x:v>Dhaka</x:v>
      </x:c>
      <x:c r="B113" s="14" t="str">
        <x:v>Dhaka</x:v>
      </x:c>
      <x:c r="C113" s="14" t="str">
        <x:v>Sonargaon University</x:v>
      </x:c>
      <x:c r="D113" s="14" t="str">
        <x:v>University</x:v>
      </x:c>
      <x:c r="E113" s="14" t="str">
        <x:v>Private</x:v>
      </x:c>
      <x:c r="F113" s="14" t="str">
        <x:v>General</x:v>
      </x:c>
      <x:c r="G113" s="14" t="str"/>
      <x:c r="H113" s="14" t="str"/>
      <x:c r="I113" s="14" t="str">
        <x:v>https://www.ugc-universities.gov.bd/private-universities</x:v>
      </x:c>
    </x:row>
    <x:row r="114">
      <x:c r="A114" s="14" t="str">
        <x:v>Dhaka</x:v>
      </x:c>
      <x:c r="B114" s="14" t="str">
        <x:v>Dhaka</x:v>
      </x:c>
      <x:c r="C114" s="14" t="str">
        <x:v>Southeast University</x:v>
      </x:c>
      <x:c r="D114" s="14" t="str">
        <x:v>University</x:v>
      </x:c>
      <x:c r="E114" s="14" t="str">
        <x:v>Private</x:v>
      </x:c>
      <x:c r="F114" s="14" t="str">
        <x:v>General</x:v>
      </x:c>
      <x:c r="G114" s="14" t="str"/>
      <x:c r="H114" s="14" t="str"/>
      <x:c r="I114" s="14" t="str">
        <x:v>https://www.ugc-universities.gov.bd/private-universities</x:v>
      </x:c>
    </x:row>
    <x:row r="115">
      <x:c r="A115" s="14" t="str">
        <x:v>Dhaka</x:v>
      </x:c>
      <x:c r="B115" s="14" t="str">
        <x:v>Dhaka</x:v>
      </x:c>
      <x:c r="C115" s="14" t="str">
        <x:v>Stamford University Bangladesh</x:v>
      </x:c>
      <x:c r="D115" s="14" t="str">
        <x:v>University</x:v>
      </x:c>
      <x:c r="E115" s="14" t="str">
        <x:v>Private</x:v>
      </x:c>
      <x:c r="F115" s="14" t="str">
        <x:v>General</x:v>
      </x:c>
      <x:c r="G115" s="14" t="str"/>
      <x:c r="H115" s="14" t="str"/>
      <x:c r="I115" s="14" t="str">
        <x:v>https://www.ugc-universities.gov.bd/private-universities</x:v>
      </x:c>
    </x:row>
    <x:row r="116">
      <x:c r="A116" s="14" t="str">
        <x:v>Dhaka</x:v>
      </x:c>
      <x:c r="B116" s="14" t="str">
        <x:v>Dhaka</x:v>
      </x:c>
      <x:c r="C116" s="14" t="str">
        <x:v>State University of Bangladesh</x:v>
      </x:c>
      <x:c r="D116" s="14" t="str">
        <x:v>University</x:v>
      </x:c>
      <x:c r="E116" s="14" t="str">
        <x:v>Private</x:v>
      </x:c>
      <x:c r="F116" s="14" t="str">
        <x:v>General</x:v>
      </x:c>
      <x:c r="G116" s="14" t="str"/>
      <x:c r="H116" s="14" t="str"/>
      <x:c r="I116" s="14" t="str">
        <x:v>https://www.ugc-universities.gov.bd/private-universities</x:v>
      </x:c>
    </x:row>
    <x:row r="117">
      <x:c r="A117" s="14" t="str">
        <x:v>Dhaka</x:v>
      </x:c>
      <x:c r="B117" s="14" t="str">
        <x:v>Dhaka</x:v>
      </x:c>
      <x:c r="C117" s="14" t="str">
        <x:v>Tagore University of Creative Arts</x:v>
      </x:c>
      <x:c r="D117" s="14" t="str">
        <x:v>University</x:v>
      </x:c>
      <x:c r="E117" s="14" t="str">
        <x:v>Private</x:v>
      </x:c>
      <x:c r="F117" s="14" t="str">
        <x:v>Creative arts</x:v>
      </x:c>
      <x:c r="G117" s="14" t="str"/>
      <x:c r="H117" s="14" t="str"/>
      <x:c r="I117" s="14" t="str">
        <x:v>https://www.ugc-universities.gov.bd/private-universities</x:v>
      </x:c>
    </x:row>
    <x:row r="118">
      <x:c r="A118" s="14" t="str">
        <x:v>Dhaka</x:v>
      </x:c>
      <x:c r="B118" s="14" t="str">
        <x:v>Dhaka</x:v>
      </x:c>
      <x:c r="C118" s="14" t="str">
        <x:v>The Millennium University</x:v>
      </x:c>
      <x:c r="D118" s="14" t="str">
        <x:v>University</x:v>
      </x:c>
      <x:c r="E118" s="14" t="str">
        <x:v>Private</x:v>
      </x:c>
      <x:c r="F118" s="14" t="str">
        <x:v>General</x:v>
      </x:c>
      <x:c r="G118" s="14" t="str"/>
      <x:c r="H118" s="14" t="str"/>
      <x:c r="I118" s="14" t="str">
        <x:v>https://www.ugc-universities.gov.bd/private-universities</x:v>
      </x:c>
    </x:row>
    <x:row r="119">
      <x:c r="A119" s="14" t="str">
        <x:v>Dhaka</x:v>
      </x:c>
      <x:c r="B119" s="14" t="str">
        <x:v>Dhaka</x:v>
      </x:c>
      <x:c r="C119" s="14" t="str">
        <x:v>The People's University of Bangladesh</x:v>
      </x:c>
      <x:c r="D119" s="14" t="str">
        <x:v>University</x:v>
      </x:c>
      <x:c r="E119" s="14" t="str">
        <x:v>Private</x:v>
      </x:c>
      <x:c r="F119" s="14" t="str">
        <x:v>General</x:v>
      </x:c>
      <x:c r="G119" s="14" t="str"/>
      <x:c r="H119" s="14" t="str"/>
      <x:c r="I119" s="14" t="str">
        <x:v>https://www.ugc-universities.gov.bd/private-universities</x:v>
      </x:c>
    </x:row>
    <x:row r="120">
      <x:c r="A120" s="14" t="str">
        <x:v>Dhaka</x:v>
      </x:c>
      <x:c r="B120" s="14" t="str">
        <x:v>Dhaka</x:v>
      </x:c>
      <x:c r="C120" s="14" t="str">
        <x:v>United International University</x:v>
      </x:c>
      <x:c r="D120" s="14" t="str">
        <x:v>University</x:v>
      </x:c>
      <x:c r="E120" s="14" t="str">
        <x:v>Private</x:v>
      </x:c>
      <x:c r="F120" s="14" t="str">
        <x:v>General</x:v>
      </x:c>
      <x:c r="G120" s="14" t="str"/>
      <x:c r="H120" s="14" t="str"/>
      <x:c r="I120" s="14" t="str">
        <x:v>https://www.ugc-universities.gov.bd/private-universities</x:v>
      </x:c>
    </x:row>
    <x:row r="121">
      <x:c r="A121" s="14" t="str">
        <x:v>Dhaka</x:v>
      </x:c>
      <x:c r="B121" s="14" t="str">
        <x:v>Dhaka</x:v>
      </x:c>
      <x:c r="C121" s="14" t="str">
        <x:v>University of Asia Pacific</x:v>
      </x:c>
      <x:c r="D121" s="14" t="str">
        <x:v>University</x:v>
      </x:c>
      <x:c r="E121" s="14" t="str">
        <x:v>Private</x:v>
      </x:c>
      <x:c r="F121" s="14" t="str">
        <x:v>General</x:v>
      </x:c>
      <x:c r="G121" s="14" t="str"/>
      <x:c r="H121" s="14" t="str"/>
      <x:c r="I121" s="14" t="str">
        <x:v>https://www.ugc-universities.gov.bd/private-universities</x:v>
      </x:c>
    </x:row>
    <x:row r="122">
      <x:c r="A122" s="14" t="str">
        <x:v>Dhaka</x:v>
      </x:c>
      <x:c r="B122" s="14" t="str">
        <x:v>Dhaka</x:v>
      </x:c>
      <x:c r="C122" s="14" t="str">
        <x:v>University of Development Alternative</x:v>
      </x:c>
      <x:c r="D122" s="14" t="str">
        <x:v>University</x:v>
      </x:c>
      <x:c r="E122" s="14" t="str">
        <x:v>Private</x:v>
      </x:c>
      <x:c r="F122" s="14" t="str">
        <x:v>General</x:v>
      </x:c>
      <x:c r="G122" s="14" t="str"/>
      <x:c r="H122" s="14" t="str"/>
      <x:c r="I122" s="14" t="str">
        <x:v>https://www.ugc-universities.gov.bd/private-universities</x:v>
      </x:c>
    </x:row>
    <x:row r="123">
      <x:c r="A123" s="14" t="str">
        <x:v>Dhaka</x:v>
      </x:c>
      <x:c r="B123" s="14" t="str">
        <x:v>Dhaka</x:v>
      </x:c>
      <x:c r="C123" s="14" t="str">
        <x:v>University of Information Technology and Sciences</x:v>
      </x:c>
      <x:c r="D123" s="14" t="str">
        <x:v>University</x:v>
      </x:c>
      <x:c r="E123" s="14" t="str">
        <x:v>Private</x:v>
      </x:c>
      <x:c r="F123" s="14" t="str">
        <x:v>General</x:v>
      </x:c>
      <x:c r="G123" s="14" t="str"/>
      <x:c r="H123" s="14" t="str"/>
      <x:c r="I123" s="14" t="str">
        <x:v>https://www.ugc-universities.gov.bd/private-universities</x:v>
      </x:c>
    </x:row>
    <x:row r="124">
      <x:c r="A124" s="14" t="str">
        <x:v>Dhaka</x:v>
      </x:c>
      <x:c r="B124" s="14" t="str">
        <x:v>Dhaka</x:v>
      </x:c>
      <x:c r="C124" s="14" t="str">
        <x:v>University of Liberal Arts Bangladesh</x:v>
      </x:c>
      <x:c r="D124" s="14" t="str">
        <x:v>University</x:v>
      </x:c>
      <x:c r="E124" s="14" t="str">
        <x:v>Private</x:v>
      </x:c>
      <x:c r="F124" s="14" t="str">
        <x:v>Liberal arts</x:v>
      </x:c>
      <x:c r="G124" s="14" t="str"/>
      <x:c r="H124" s="14" t="str"/>
      <x:c r="I124" s="14" t="str">
        <x:v>https://www.ugc-universities.gov.bd/private-universities</x:v>
      </x:c>
    </x:row>
    <x:row r="125">
      <x:c r="A125" s="14" t="str">
        <x:v>Dhaka</x:v>
      </x:c>
      <x:c r="B125" s="14" t="str">
        <x:v>Dhaka</x:v>
      </x:c>
      <x:c r="C125" s="14" t="str">
        <x:v>University of Scholars</x:v>
      </x:c>
      <x:c r="D125" s="14" t="str">
        <x:v>University</x:v>
      </x:c>
      <x:c r="E125" s="14" t="str">
        <x:v>Private</x:v>
      </x:c>
      <x:c r="F125" s="14" t="str">
        <x:v>General</x:v>
      </x:c>
      <x:c r="G125" s="14" t="str"/>
      <x:c r="H125" s="14" t="str"/>
      <x:c r="I125" s="14" t="str">
        <x:v>https://www.ugc-universities.gov.bd/private-universities</x:v>
      </x:c>
    </x:row>
    <x:row r="126">
      <x:c r="A126" s="14" t="str">
        <x:v>Dhaka</x:v>
      </x:c>
      <x:c r="B126" s="14" t="str">
        <x:v>Dhaka</x:v>
      </x:c>
      <x:c r="C126" s="14" t="str">
        <x:v>University of Skill Enrichment and Technology</x:v>
      </x:c>
      <x:c r="D126" s="14" t="str">
        <x:v>University</x:v>
      </x:c>
      <x:c r="E126" s="14" t="str">
        <x:v>Private</x:v>
      </x:c>
      <x:c r="F126" s="14" t="str">
        <x:v>Specialized</x:v>
      </x:c>
      <x:c r="G126" s="14" t="str"/>
      <x:c r="H126" s="14" t="str"/>
      <x:c r="I126" s="14" t="str">
        <x:v>https://www.ugc-universities.gov.bd/private-universities</x:v>
      </x:c>
    </x:row>
    <x:row r="127">
      <x:c r="A127" s="14" t="str">
        <x:v>Dhaka</x:v>
      </x:c>
      <x:c r="B127" s="14" t="str">
        <x:v>Dhaka</x:v>
      </x:c>
      <x:c r="C127" s="14" t="str">
        <x:v>University of South Asia</x:v>
      </x:c>
      <x:c r="D127" s="14" t="str">
        <x:v>University</x:v>
      </x:c>
      <x:c r="E127" s="14" t="str">
        <x:v>Private</x:v>
      </x:c>
      <x:c r="F127" s="14" t="str">
        <x:v>General</x:v>
      </x:c>
      <x:c r="G127" s="14" t="str"/>
      <x:c r="H127" s="14" t="str"/>
      <x:c r="I127" s="14" t="str">
        <x:v>https://www.ugc-universities.gov.bd/private-universities</x:v>
      </x:c>
    </x:row>
    <x:row r="128">
      <x:c r="A128" s="14" t="str">
        <x:v>Dhaka</x:v>
      </x:c>
      <x:c r="B128" s="14" t="str">
        <x:v>Dhaka</x:v>
      </x:c>
      <x:c r="C128" s="14" t="str">
        <x:v>Uttara University</x:v>
      </x:c>
      <x:c r="D128" s="14" t="str">
        <x:v>University</x:v>
      </x:c>
      <x:c r="E128" s="14" t="str">
        <x:v>Private</x:v>
      </x:c>
      <x:c r="F128" s="14" t="str">
        <x:v>General</x:v>
      </x:c>
      <x:c r="G128" s="14" t="str"/>
      <x:c r="H128" s="14" t="str"/>
      <x:c r="I128" s="14" t="str">
        <x:v>https://www.ugc-universities.gov.bd/private-universities</x:v>
      </x:c>
    </x:row>
    <x:row r="129">
      <x:c r="A129" s="14" t="str">
        <x:v>Dhaka</x:v>
      </x:c>
      <x:c r="B129" s="14" t="str">
        <x:v>Dhaka</x:v>
      </x:c>
      <x:c r="C129" s="14" t="str">
        <x:v>Victoria University of Bangladesh</x:v>
      </x:c>
      <x:c r="D129" s="14" t="str">
        <x:v>University</x:v>
      </x:c>
      <x:c r="E129" s="14" t="str">
        <x:v>Private</x:v>
      </x:c>
      <x:c r="F129" s="14" t="str">
        <x:v>General</x:v>
      </x:c>
      <x:c r="G129" s="14" t="str"/>
      <x:c r="H129" s="14" t="str"/>
      <x:c r="I129" s="14" t="str">
        <x:v>https://www.ugc-universities.gov.bd/private-universities</x:v>
      </x:c>
    </x:row>
    <x:row r="130">
      <x:c r="A130" s="14" t="str">
        <x:v>Dhaka</x:v>
      </x:c>
      <x:c r="B130" s="14" t="str">
        <x:v>Dhaka</x:v>
      </x:c>
      <x:c r="C130" s="14" t="str">
        <x:v>World University of Bangladesh</x:v>
      </x:c>
      <x:c r="D130" s="14" t="str">
        <x:v>University</x:v>
      </x:c>
      <x:c r="E130" s="14" t="str">
        <x:v>Private</x:v>
      </x:c>
      <x:c r="F130" s="14" t="str">
        <x:v>General</x:v>
      </x:c>
      <x:c r="G130" s="14" t="str"/>
      <x:c r="H130" s="14" t="str"/>
      <x:c r="I130" s="14" t="str">
        <x:v>https://www.ugc-universities.gov.bd/private-universities</x:v>
      </x:c>
    </x:row>
    <x:row r="131">
      <x:c r="A131" s="14" t="str">
        <x:v>Dhaka</x:v>
      </x:c>
      <x:c r="B131" s="14" t="str">
        <x:v>Dhaka</x:v>
      </x:c>
      <x:c r="C131" s="14" t="str">
        <x:v>ZNRF University of Management Sciences</x:v>
      </x:c>
      <x:c r="D131" s="14" t="str">
        <x:v>University</x:v>
      </x:c>
      <x:c r="E131" s="14" t="str">
        <x:v>Private</x:v>
      </x:c>
      <x:c r="F131" s="14" t="str">
        <x:v>Specialized / Management</x:v>
      </x:c>
      <x:c r="G131" s="14" t="str"/>
      <x:c r="H131" s="14" t="str"/>
      <x:c r="I131" s="14" t="str">
        <x:v>https://www.ugc-universities.gov.bd/private-universities</x:v>
      </x:c>
    </x:row>
    <x:row r="132">
      <x:c r="A132" s="14" t="str">
        <x:v>Dhaka</x:v>
      </x:c>
      <x:c r="B132" s="14" t="str">
        <x:v>Dhaka</x:v>
      </x:c>
      <x:c r="C132" s="14" t="str">
        <x:v>Dhaka Medical College</x:v>
      </x:c>
      <x:c r="D132" s="14" t="str">
        <x:v>Medical College</x:v>
      </x:c>
      <x:c r="E132" s="14" t="str">
        <x:v>Public</x:v>
      </x:c>
      <x:c r="F132" s="14" t="str">
        <x:v>MBBS</x:v>
      </x:c>
      <x:c r="G132" s="14" t="str"/>
      <x:c r="H132" s="14" t="str"/>
      <x:c r="I132" s="14" t="str">
        <x:v>https://en.wikipedia.org/wiki/List_of_medical_colleges_in_Bangladesh</x:v>
      </x:c>
    </x:row>
    <x:row r="133">
      <x:c r="A133" s="14" t="str">
        <x:v>Dhaka</x:v>
      </x:c>
      <x:c r="B133" s="14" t="str">
        <x:v>Dhaka</x:v>
      </x:c>
      <x:c r="C133" s="14" t="str">
        <x:v>Mugda Medical College</x:v>
      </x:c>
      <x:c r="D133" s="14" t="str">
        <x:v>Medical College</x:v>
      </x:c>
      <x:c r="E133" s="14" t="str">
        <x:v>Public</x:v>
      </x:c>
      <x:c r="F133" s="14" t="str">
        <x:v>MBBS</x:v>
      </x:c>
      <x:c r="G133" s="14" t="str"/>
      <x:c r="H133" s="14" t="str"/>
      <x:c r="I133" s="14" t="str">
        <x:v>https://en.wikipedia.org/wiki/List_of_medical_colleges_in_Bangladesh</x:v>
      </x:c>
    </x:row>
    <x:row r="134">
      <x:c r="A134" s="14" t="str">
        <x:v>Dhaka</x:v>
      </x:c>
      <x:c r="B134" s="14" t="str">
        <x:v>Dhaka</x:v>
      </x:c>
      <x:c r="C134" s="14" t="str">
        <x:v>Shaheed Suhrawardy Medical College</x:v>
      </x:c>
      <x:c r="D134" s="14" t="str">
        <x:v>Medical College</x:v>
      </x:c>
      <x:c r="E134" s="14" t="str">
        <x:v>Public</x:v>
      </x:c>
      <x:c r="F134" s="14" t="str">
        <x:v>MBBS</x:v>
      </x:c>
      <x:c r="G134" s="14" t="str"/>
      <x:c r="H134" s="14" t="str"/>
      <x:c r="I134" s="14" t="str">
        <x:v>https://en.wikipedia.org/wiki/List_of_medical_colleges_in_Bangladesh</x:v>
      </x:c>
    </x:row>
    <x:row r="135">
      <x:c r="A135" s="14" t="str">
        <x:v>Dhaka</x:v>
      </x:c>
      <x:c r="B135" s="14" t="str">
        <x:v>Dhaka</x:v>
      </x:c>
      <x:c r="C135" s="14" t="str">
        <x:v>Sir Salimullah Medical College</x:v>
      </x:c>
      <x:c r="D135" s="14" t="str">
        <x:v>Medical College</x:v>
      </x:c>
      <x:c r="E135" s="14" t="str">
        <x:v>Public</x:v>
      </x:c>
      <x:c r="F135" s="14" t="str">
        <x:v>MBBS</x:v>
      </x:c>
      <x:c r="G135" s="14" t="str"/>
      <x:c r="H135" s="14" t="str"/>
      <x:c r="I135" s="14" t="str">
        <x:v>https://en.wikipedia.org/wiki/List_of_medical_colleges_in_Bangladesh</x:v>
      </x:c>
    </x:row>
    <x:row r="136">
      <x:c r="A136" s="14" t="str">
        <x:v>Dhaka</x:v>
      </x:c>
      <x:c r="B136" s="14" t="str">
        <x:v>Dhaka</x:v>
      </x:c>
      <x:c r="C136" s="14" t="str">
        <x:v>Ad-din Women's Medical College</x:v>
      </x:c>
      <x:c r="D136" s="14" t="str">
        <x:v>Medical College</x:v>
      </x:c>
      <x:c r="E136" s="14" t="str">
        <x:v>Private</x:v>
      </x:c>
      <x:c r="F136" s="14" t="str">
        <x:v>MBBS</x:v>
      </x:c>
      <x:c r="G136" s="14" t="str"/>
      <x:c r="H136" s="14" t="str"/>
      <x:c r="I136" s="14" t="str">
        <x:v>https://dgme.portal.gov.bd/pages/static-pages/6922dd3c933eb65569e140f7</x:v>
      </x:c>
    </x:row>
    <x:row r="137">
      <x:c r="A137" s="14" t="str">
        <x:v>Dhaka</x:v>
      </x:c>
      <x:c r="B137" s="14" t="str">
        <x:v>Dhaka</x:v>
      </x:c>
      <x:c r="C137" s="14" t="str">
        <x:v>Ahsania Mission Medical College</x:v>
      </x:c>
      <x:c r="D137" s="14" t="str">
        <x:v>Medical College</x:v>
      </x:c>
      <x:c r="E137" s="14" t="str">
        <x:v>Private</x:v>
      </x:c>
      <x:c r="F137" s="14" t="str">
        <x:v>MBBS</x:v>
      </x:c>
      <x:c r="G137" s="14" t="str"/>
      <x:c r="H137" s="14" t="str"/>
      <x:c r="I137" s="14" t="str">
        <x:v>https://dgme.portal.gov.bd/pages/static-pages/6922dd3c933eb65569e140f7</x:v>
      </x:c>
    </x:row>
    <x:row r="138">
      <x:c r="A138" s="14" t="str">
        <x:v>Dhaka</x:v>
      </x:c>
      <x:c r="B138" s="14" t="str">
        <x:v>Dhaka</x:v>
      </x:c>
      <x:c r="C138" s="14" t="str">
        <x:v>Aichi Medical College</x:v>
      </x:c>
      <x:c r="D138" s="14" t="str">
        <x:v>Medical College</x:v>
      </x:c>
      <x:c r="E138" s="14" t="str">
        <x:v>Private</x:v>
      </x:c>
      <x:c r="F138" s="14" t="str">
        <x:v>MBBS</x:v>
      </x:c>
      <x:c r="G138" s="14" t="str"/>
      <x:c r="H138" s="14" t="str"/>
      <x:c r="I138" s="14" t="str">
        <x:v>https://dgme.portal.gov.bd/pages/static-pages/6922dd3c933eb65569e140f7</x:v>
      </x:c>
    </x:row>
    <x:row r="139">
      <x:c r="A139" s="14" t="str">
        <x:v>Dhaka</x:v>
      </x:c>
      <x:c r="B139" s="14" t="str">
        <x:v>Dhaka</x:v>
      </x:c>
      <x:c r="C139" s="14" t="str">
        <x:v>Anwer Khan Modern Medical College</x:v>
      </x:c>
      <x:c r="D139" s="14" t="str">
        <x:v>Medical College</x:v>
      </x:c>
      <x:c r="E139" s="14" t="str">
        <x:v>Private</x:v>
      </x:c>
      <x:c r="F139" s="14" t="str">
        <x:v>MBBS</x:v>
      </x:c>
      <x:c r="G139" s="14" t="str"/>
      <x:c r="H139" s="14" t="str"/>
      <x:c r="I139" s="14" t="str">
        <x:v>https://dgme.portal.gov.bd/pages/static-pages/6922dd3c933eb65569e140f7</x:v>
      </x:c>
    </x:row>
    <x:row r="140">
      <x:c r="A140" s="14" t="str">
        <x:v>Dhaka</x:v>
      </x:c>
      <x:c r="B140" s="14" t="str">
        <x:v>Dhaka</x:v>
      </x:c>
      <x:c r="C140" s="14" t="str">
        <x:v>Asgar Ali Medical College</x:v>
      </x:c>
      <x:c r="D140" s="14" t="str">
        <x:v>Medical College</x:v>
      </x:c>
      <x:c r="E140" s="14" t="str">
        <x:v>Private</x:v>
      </x:c>
      <x:c r="F140" s="14" t="str">
        <x:v>MBBS</x:v>
      </x:c>
      <x:c r="G140" s="14" t="str"/>
      <x:c r="H140" s="14" t="str"/>
      <x:c r="I140" s="14" t="str">
        <x:v>https://dgme.portal.gov.bd/pages/static-pages/6922dd3c933eb65569e140f7</x:v>
      </x:c>
    </x:row>
    <x:row r="141">
      <x:c r="A141" s="14" t="str">
        <x:v>Dhaka</x:v>
      </x:c>
      <x:c r="B141" s="14" t="str">
        <x:v>Dhaka</x:v>
      </x:c>
      <x:c r="C141" s="14" t="str">
        <x:v>Ashiyan Medical College</x:v>
      </x:c>
      <x:c r="D141" s="14" t="str">
        <x:v>Medical College</x:v>
      </x:c>
      <x:c r="E141" s="14" t="str">
        <x:v>Private</x:v>
      </x:c>
      <x:c r="F141" s="14" t="str">
        <x:v>MBBS</x:v>
      </x:c>
      <x:c r="G141" s="14" t="str"/>
      <x:c r="H141" s="14" t="str"/>
      <x:c r="I141" s="14" t="str">
        <x:v>https://dgme.portal.gov.bd/pages/static-pages/6922dd3c933eb65569e140f7</x:v>
      </x:c>
    </x:row>
    <x:row r="142">
      <x:c r="A142" s="14" t="str">
        <x:v>Dhaka</x:v>
      </x:c>
      <x:c r="B142" s="14" t="str">
        <x:v>Dhaka</x:v>
      </x:c>
      <x:c r="C142" s="14" t="str">
        <x:v>Bangladesh Medical College</x:v>
      </x:c>
      <x:c r="D142" s="14" t="str">
        <x:v>Medical College</x:v>
      </x:c>
      <x:c r="E142" s="14" t="str">
        <x:v>Private</x:v>
      </x:c>
      <x:c r="F142" s="14" t="str">
        <x:v>MBBS</x:v>
      </x:c>
      <x:c r="G142" s="14" t="str"/>
      <x:c r="H142" s="14" t="str"/>
      <x:c r="I142" s="14" t="str">
        <x:v>https://dgme.portal.gov.bd/pages/static-pages/6922dd3c933eb65569e140f7</x:v>
      </x:c>
    </x:row>
    <x:row r="143">
      <x:c r="A143" s="14" t="str">
        <x:v>Dhaka</x:v>
      </x:c>
      <x:c r="B143" s="14" t="str">
        <x:v>Dhaka</x:v>
      </x:c>
      <x:c r="C143" s="14" t="str">
        <x:v>Bashundhara Ad-din Medical College</x:v>
      </x:c>
      <x:c r="D143" s="14" t="str">
        <x:v>Medical College</x:v>
      </x:c>
      <x:c r="E143" s="14" t="str">
        <x:v>Private</x:v>
      </x:c>
      <x:c r="F143" s="14" t="str">
        <x:v>MBBS</x:v>
      </x:c>
      <x:c r="G143" s="14" t="str"/>
      <x:c r="H143" s="14" t="str"/>
      <x:c r="I143" s="14" t="str">
        <x:v>https://dgme.portal.gov.bd/pages/static-pages/6922dd3c933eb65569e140f7</x:v>
      </x:c>
    </x:row>
    <x:row r="144">
      <x:c r="A144" s="14" t="str">
        <x:v>Dhaka</x:v>
      </x:c>
      <x:c r="B144" s="14" t="str">
        <x:v>Dhaka</x:v>
      </x:c>
      <x:c r="C144" s="14" t="str">
        <x:v>Delta Medical College</x:v>
      </x:c>
      <x:c r="D144" s="14" t="str">
        <x:v>Medical College</x:v>
      </x:c>
      <x:c r="E144" s="14" t="str">
        <x:v>Private</x:v>
      </x:c>
      <x:c r="F144" s="14" t="str">
        <x:v>MBBS</x:v>
      </x:c>
      <x:c r="G144" s="14" t="str"/>
      <x:c r="H144" s="14" t="str"/>
      <x:c r="I144" s="14" t="str">
        <x:v>https://dgme.portal.gov.bd/pages/static-pages/6922dd3c933eb65569e140f7</x:v>
      </x:c>
    </x:row>
    <x:row r="145">
      <x:c r="A145" s="14" t="str">
        <x:v>Dhaka</x:v>
      </x:c>
      <x:c r="B145" s="14" t="str">
        <x:v>Dhaka</x:v>
      </x:c>
      <x:c r="C145" s="14" t="str">
        <x:v>Dhaka Central International Medical College</x:v>
      </x:c>
      <x:c r="D145" s="14" t="str">
        <x:v>Medical College</x:v>
      </x:c>
      <x:c r="E145" s="14" t="str">
        <x:v>Private</x:v>
      </x:c>
      <x:c r="F145" s="14" t="str">
        <x:v>MBBS</x:v>
      </x:c>
      <x:c r="G145" s="14" t="str"/>
      <x:c r="H145" s="14" t="str"/>
      <x:c r="I145" s="14" t="str">
        <x:v>https://dgme.portal.gov.bd/pages/static-pages/6922dd3c933eb65569e140f7</x:v>
      </x:c>
    </x:row>
    <x:row r="146">
      <x:c r="A146" s="14" t="str">
        <x:v>Dhaka</x:v>
      </x:c>
      <x:c r="B146" s="14" t="str">
        <x:v>Dhaka</x:v>
      </x:c>
      <x:c r="C146" s="14" t="str">
        <x:v>Dhaka Community Medical College</x:v>
      </x:c>
      <x:c r="D146" s="14" t="str">
        <x:v>Medical College</x:v>
      </x:c>
      <x:c r="E146" s="14" t="str">
        <x:v>Private</x:v>
      </x:c>
      <x:c r="F146" s="14" t="str">
        <x:v>MBBS</x:v>
      </x:c>
      <x:c r="G146" s="14" t="str"/>
      <x:c r="H146" s="14" t="str"/>
      <x:c r="I146" s="14" t="str">
        <x:v>https://dgme.portal.gov.bd/pages/static-pages/6922dd3c933eb65569e140f7</x:v>
      </x:c>
    </x:row>
    <x:row r="147">
      <x:c r="A147" s="14" t="str">
        <x:v>Dhaka</x:v>
      </x:c>
      <x:c r="B147" s="14" t="str">
        <x:v>Dhaka</x:v>
      </x:c>
      <x:c r="C147" s="14" t="str">
        <x:v>Dhaka National Medical College</x:v>
      </x:c>
      <x:c r="D147" s="14" t="str">
        <x:v>Medical College</x:v>
      </x:c>
      <x:c r="E147" s="14" t="str">
        <x:v>Private</x:v>
      </x:c>
      <x:c r="F147" s="14" t="str">
        <x:v>MBBS</x:v>
      </x:c>
      <x:c r="G147" s="14" t="str"/>
      <x:c r="H147" s="14" t="str"/>
      <x:c r="I147" s="14" t="str">
        <x:v>https://dgme.portal.gov.bd/pages/static-pages/6922dd3c933eb65569e140f7</x:v>
      </x:c>
    </x:row>
    <x:row r="148">
      <x:c r="A148" s="14" t="str">
        <x:v>Dhaka</x:v>
      </x:c>
      <x:c r="B148" s="14" t="str">
        <x:v>Dhaka</x:v>
      </x:c>
      <x:c r="C148" s="14" t="str">
        <x:v>Dr. Sirajul Islam Medical College</x:v>
      </x:c>
      <x:c r="D148" s="14" t="str">
        <x:v>Medical College</x:v>
      </x:c>
      <x:c r="E148" s="14" t="str">
        <x:v>Private</x:v>
      </x:c>
      <x:c r="F148" s="14" t="str">
        <x:v>MBBS</x:v>
      </x:c>
      <x:c r="G148" s="14" t="str"/>
      <x:c r="H148" s="14" t="str"/>
      <x:c r="I148" s="14" t="str">
        <x:v>https://dgme.portal.gov.bd/pages/static-pages/6922dd3c933eb65569e140f7</x:v>
      </x:c>
    </x:row>
    <x:row r="149">
      <x:c r="A149" s="14" t="str">
        <x:v>Dhaka</x:v>
      </x:c>
      <x:c r="B149" s="14" t="str">
        <x:v>Dhaka</x:v>
      </x:c>
      <x:c r="C149" s="14" t="str">
        <x:v>East West Medical College</x:v>
      </x:c>
      <x:c r="D149" s="14" t="str">
        <x:v>Medical College</x:v>
      </x:c>
      <x:c r="E149" s="14" t="str">
        <x:v>Private</x:v>
      </x:c>
      <x:c r="F149" s="14" t="str">
        <x:v>MBBS</x:v>
      </x:c>
      <x:c r="G149" s="14" t="str"/>
      <x:c r="H149" s="14" t="str"/>
      <x:c r="I149" s="14" t="str">
        <x:v>https://dgme.portal.gov.bd/pages/static-pages/6922dd3c933eb65569e140f7</x:v>
      </x:c>
    </x:row>
    <x:row r="150">
      <x:c r="A150" s="14" t="str">
        <x:v>Dhaka</x:v>
      </x:c>
      <x:c r="B150" s="14" t="str">
        <x:v>Dhaka</x:v>
      </x:c>
      <x:c r="C150" s="14" t="str">
        <x:v>Enam Medical College and Hospital</x:v>
      </x:c>
      <x:c r="D150" s="14" t="str">
        <x:v>Medical College</x:v>
      </x:c>
      <x:c r="E150" s="14" t="str">
        <x:v>Private</x:v>
      </x:c>
      <x:c r="F150" s="14" t="str">
        <x:v>MBBS</x:v>
      </x:c>
      <x:c r="G150" s="14" t="str"/>
      <x:c r="H150" s="14" t="str"/>
      <x:c r="I150" s="14" t="str">
        <x:v>https://dgme.portal.gov.bd/pages/static-pages/6922dd3c933eb65569e140f7</x:v>
      </x:c>
    </x:row>
    <x:row r="151">
      <x:c r="A151" s="14" t="str">
        <x:v>Dhaka</x:v>
      </x:c>
      <x:c r="B151" s="14" t="str">
        <x:v>Dhaka</x:v>
      </x:c>
      <x:c r="C151" s="14" t="str">
        <x:v>Gonoshasthaya Samaj Vittik Medical College</x:v>
      </x:c>
      <x:c r="D151" s="14" t="str">
        <x:v>Medical College</x:v>
      </x:c>
      <x:c r="E151" s="14" t="str">
        <x:v>Private</x:v>
      </x:c>
      <x:c r="F151" s="14" t="str">
        <x:v>MBBS</x:v>
      </x:c>
      <x:c r="G151" s="14" t="str"/>
      <x:c r="H151" s="14" t="str"/>
      <x:c r="I151" s="14" t="str">
        <x:v>https://dgme.portal.gov.bd/pages/static-pages/6922dd3c933eb65569e140f7</x:v>
      </x:c>
    </x:row>
    <x:row r="152">
      <x:c r="A152" s="14" t="str">
        <x:v>Dhaka</x:v>
      </x:c>
      <x:c r="B152" s="14" t="str">
        <x:v>Dhaka</x:v>
      </x:c>
      <x:c r="C152" s="14" t="str">
        <x:v>Green Life Medical College</x:v>
      </x:c>
      <x:c r="D152" s="14" t="str">
        <x:v>Medical College</x:v>
      </x:c>
      <x:c r="E152" s="14" t="str">
        <x:v>Private</x:v>
      </x:c>
      <x:c r="F152" s="14" t="str">
        <x:v>MBBS</x:v>
      </x:c>
      <x:c r="G152" s="14" t="str"/>
      <x:c r="H152" s="14" t="str"/>
      <x:c r="I152" s="14" t="str">
        <x:v>https://dgme.portal.gov.bd/pages/static-pages/6922dd3c933eb65569e140f7</x:v>
      </x:c>
    </x:row>
    <x:row r="153">
      <x:c r="A153" s="14" t="str">
        <x:v>Dhaka</x:v>
      </x:c>
      <x:c r="B153" s="14" t="str">
        <x:v>Dhaka</x:v>
      </x:c>
      <x:c r="C153" s="14" t="str">
        <x:v>Holy Family Red Crescent Medical College</x:v>
      </x:c>
      <x:c r="D153" s="14" t="str">
        <x:v>Medical College</x:v>
      </x:c>
      <x:c r="E153" s="14" t="str">
        <x:v>Private</x:v>
      </x:c>
      <x:c r="F153" s="14" t="str">
        <x:v>MBBS</x:v>
      </x:c>
      <x:c r="G153" s="14" t="str"/>
      <x:c r="H153" s="14" t="str"/>
      <x:c r="I153" s="14" t="str">
        <x:v>https://dgme.portal.gov.bd/pages/static-pages/6922dd3c933eb65569e140f7</x:v>
      </x:c>
    </x:row>
    <x:row r="154">
      <x:c r="A154" s="14" t="str">
        <x:v>Dhaka</x:v>
      </x:c>
      <x:c r="B154" s="14" t="str">
        <x:v>Dhaka</x:v>
      </x:c>
      <x:c r="C154" s="14" t="str">
        <x:v>Ibn Sina Medical College</x:v>
      </x:c>
      <x:c r="D154" s="14" t="str">
        <x:v>Medical College</x:v>
      </x:c>
      <x:c r="E154" s="14" t="str">
        <x:v>Private</x:v>
      </x:c>
      <x:c r="F154" s="14" t="str">
        <x:v>MBBS</x:v>
      </x:c>
      <x:c r="G154" s="14" t="str"/>
      <x:c r="H154" s="14" t="str"/>
      <x:c r="I154" s="14" t="str">
        <x:v>https://dgme.portal.gov.bd/pages/static-pages/6922dd3c933eb65569e140f7</x:v>
      </x:c>
    </x:row>
    <x:row r="155">
      <x:c r="A155" s="14" t="str">
        <x:v>Dhaka</x:v>
      </x:c>
      <x:c r="B155" s="14" t="str">
        <x:v>Dhaka</x:v>
      </x:c>
      <x:c r="C155" s="14" t="str">
        <x:v>Ibrahim Medical College</x:v>
      </x:c>
      <x:c r="D155" s="14" t="str">
        <x:v>Medical College</x:v>
      </x:c>
      <x:c r="E155" s="14" t="str">
        <x:v>Private</x:v>
      </x:c>
      <x:c r="F155" s="14" t="str">
        <x:v>MBBS</x:v>
      </x:c>
      <x:c r="G155" s="14" t="str"/>
      <x:c r="H155" s="14" t="str"/>
      <x:c r="I155" s="14" t="str">
        <x:v>https://dgme.portal.gov.bd/pages/static-pages/6922dd3c933eb65569e140f7</x:v>
      </x:c>
    </x:row>
    <x:row r="156">
      <x:c r="A156" s="14" t="str">
        <x:v>Dhaka</x:v>
      </x:c>
      <x:c r="B156" s="14" t="str">
        <x:v>Dhaka</x:v>
      </x:c>
      <x:c r="C156" s="14" t="str">
        <x:v>MH Samorita Medical College</x:v>
      </x:c>
      <x:c r="D156" s="14" t="str">
        <x:v>Medical College</x:v>
      </x:c>
      <x:c r="E156" s="14" t="str">
        <x:v>Private</x:v>
      </x:c>
      <x:c r="F156" s="14" t="str">
        <x:v>MBBS</x:v>
      </x:c>
      <x:c r="G156" s="14" t="str"/>
      <x:c r="H156" s="14" t="str"/>
      <x:c r="I156" s="14" t="str">
        <x:v>https://dgme.portal.gov.bd/pages/static-pages/6922dd3c933eb65569e140f7</x:v>
      </x:c>
    </x:row>
    <x:row r="157">
      <x:c r="A157" s="14" t="str">
        <x:v>Dhaka</x:v>
      </x:c>
      <x:c r="B157" s="14" t="str">
        <x:v>Dhaka</x:v>
      </x:c>
      <x:c r="C157" s="14" t="str">
        <x:v>Marks Medical College</x:v>
      </x:c>
      <x:c r="D157" s="14" t="str">
        <x:v>Medical College</x:v>
      </x:c>
      <x:c r="E157" s="14" t="str">
        <x:v>Private</x:v>
      </x:c>
      <x:c r="F157" s="14" t="str">
        <x:v>MBBS</x:v>
      </x:c>
      <x:c r="G157" s="14" t="str"/>
      <x:c r="H157" s="14" t="str"/>
      <x:c r="I157" s="14" t="str">
        <x:v>https://dgme.portal.gov.bd/pages/static-pages/6922dd3c933eb65569e140f7</x:v>
      </x:c>
    </x:row>
    <x:row r="158">
      <x:c r="A158" s="14" t="str">
        <x:v>Dhaka</x:v>
      </x:c>
      <x:c r="B158" s="14" t="str">
        <x:v>Dhaka</x:v>
      </x:c>
      <x:c r="C158" s="14" t="str">
        <x:v>Medical College for Women &amp; Hospital</x:v>
      </x:c>
      <x:c r="D158" s="14" t="str">
        <x:v>Medical College</x:v>
      </x:c>
      <x:c r="E158" s="14" t="str">
        <x:v>Private</x:v>
      </x:c>
      <x:c r="F158" s="14" t="str">
        <x:v>MBBS</x:v>
      </x:c>
      <x:c r="G158" s="14" t="str"/>
      <x:c r="H158" s="14" t="str"/>
      <x:c r="I158" s="14" t="str">
        <x:v>https://dgme.portal.gov.bd/pages/static-pages/6922dd3c933eb65569e140f7</x:v>
      </x:c>
    </x:row>
    <x:row r="159">
      <x:c r="A159" s="14" t="str">
        <x:v>Dhaka</x:v>
      </x:c>
      <x:c r="B159" s="14" t="str">
        <x:v>Dhaka</x:v>
      </x:c>
      <x:c r="C159" s="14" t="str">
        <x:v>Popular Medical College</x:v>
      </x:c>
      <x:c r="D159" s="14" t="str">
        <x:v>Medical College</x:v>
      </x:c>
      <x:c r="E159" s="14" t="str">
        <x:v>Private</x:v>
      </x:c>
      <x:c r="F159" s="14" t="str">
        <x:v>MBBS</x:v>
      </x:c>
      <x:c r="G159" s="14" t="str"/>
      <x:c r="H159" s="14" t="str"/>
      <x:c r="I159" s="14" t="str">
        <x:v>https://dgme.portal.gov.bd/pages/static-pages/6922dd3c933eb65569e140f7</x:v>
      </x:c>
    </x:row>
    <x:row r="160">
      <x:c r="A160" s="14" t="str">
        <x:v>Dhaka</x:v>
      </x:c>
      <x:c r="B160" s="14" t="str">
        <x:v>Dhaka</x:v>
      </x:c>
      <x:c r="C160" s="14" t="str">
        <x:v>Shahabuddin Medical College</x:v>
      </x:c>
      <x:c r="D160" s="14" t="str">
        <x:v>Medical College</x:v>
      </x:c>
      <x:c r="E160" s="14" t="str">
        <x:v>Private</x:v>
      </x:c>
      <x:c r="F160" s="14" t="str">
        <x:v>MBBS</x:v>
      </x:c>
      <x:c r="G160" s="14" t="str"/>
      <x:c r="H160" s="14" t="str"/>
      <x:c r="I160" s="14" t="str">
        <x:v>https://dgme.portal.gov.bd/pages/static-pages/6922dd3c933eb65569e140f7</x:v>
      </x:c>
    </x:row>
    <x:row r="161">
      <x:c r="A161" s="14" t="str">
        <x:v>Dhaka</x:v>
      </x:c>
      <x:c r="B161" s="14" t="str">
        <x:v>Dhaka</x:v>
      </x:c>
      <x:c r="C161" s="14" t="str">
        <x:v>Shaheed Monsur Ali Medical College</x:v>
      </x:c>
      <x:c r="D161" s="14" t="str">
        <x:v>Medical College</x:v>
      </x:c>
      <x:c r="E161" s="14" t="str">
        <x:v>Private</x:v>
      </x:c>
      <x:c r="F161" s="14" t="str">
        <x:v>MBBS</x:v>
      </x:c>
      <x:c r="G161" s="14" t="str"/>
      <x:c r="H161" s="14" t="str"/>
      <x:c r="I161" s="14" t="str">
        <x:v>https://dgme.portal.gov.bd/pages/static-pages/6922dd3c933eb65569e140f7</x:v>
      </x:c>
    </x:row>
    <x:row r="162">
      <x:c r="A162" s="14" t="str">
        <x:v>Dhaka</x:v>
      </x:c>
      <x:c r="B162" s="14" t="str">
        <x:v>Dhaka</x:v>
      </x:c>
      <x:c r="C162" s="14" t="str">
        <x:v>United Medical College</x:v>
      </x:c>
      <x:c r="D162" s="14" t="str">
        <x:v>Medical College</x:v>
      </x:c>
      <x:c r="E162" s="14" t="str">
        <x:v>Private</x:v>
      </x:c>
      <x:c r="F162" s="14" t="str">
        <x:v>MBBS</x:v>
      </x:c>
      <x:c r="G162" s="14" t="str"/>
      <x:c r="H162" s="14" t="str"/>
      <x:c r="I162" s="14" t="str">
        <x:v>https://dgme.portal.gov.bd/pages/static-pages/6922dd3c933eb65569e140f7</x:v>
      </x:c>
    </x:row>
    <x:row r="163">
      <x:c r="A163" s="14" t="str">
        <x:v>Dhaka</x:v>
      </x:c>
      <x:c r="B163" s="14" t="str">
        <x:v>Dhaka</x:v>
      </x:c>
      <x:c r="C163" s="14" t="str">
        <x:v>Universal Medical College and Hospital, Dhaka</x:v>
      </x:c>
      <x:c r="D163" s="14" t="str">
        <x:v>Medical College</x:v>
      </x:c>
      <x:c r="E163" s="14" t="str">
        <x:v>Private</x:v>
      </x:c>
      <x:c r="F163" s="14" t="str">
        <x:v>MBBS</x:v>
      </x:c>
      <x:c r="G163" s="14" t="str"/>
      <x:c r="H163" s="14" t="str"/>
      <x:c r="I163" s="14" t="str">
        <x:v>https://dgme.portal.gov.bd/pages/static-pages/6922dd3c933eb65569e140f7</x:v>
      </x:c>
    </x:row>
    <x:row r="164">
      <x:c r="A164" s="14" t="str">
        <x:v>Dhaka</x:v>
      </x:c>
      <x:c r="B164" s="14" t="str">
        <x:v>Dhaka</x:v>
      </x:c>
      <x:c r="C164" s="14" t="str">
        <x:v>Uttara Adhunik Medical College</x:v>
      </x:c>
      <x:c r="D164" s="14" t="str">
        <x:v>Medical College</x:v>
      </x:c>
      <x:c r="E164" s="14" t="str">
        <x:v>Private</x:v>
      </x:c>
      <x:c r="F164" s="14" t="str">
        <x:v>MBBS</x:v>
      </x:c>
      <x:c r="G164" s="14" t="str"/>
      <x:c r="H164" s="14" t="str"/>
      <x:c r="I164" s="14" t="str">
        <x:v>https://dgme.portal.gov.bd/pages/static-pages/6922dd3c933eb65569e140f7</x:v>
      </x:c>
    </x:row>
    <x:row r="165">
      <x:c r="A165" s="14" t="str">
        <x:v>Dhaka</x:v>
      </x:c>
      <x:c r="B165" s="14" t="str">
        <x:v>Dhaka</x:v>
      </x:c>
      <x:c r="C165" s="14" t="str">
        <x:v>Z. H. Sikder Women's Medical College</x:v>
      </x:c>
      <x:c r="D165" s="14" t="str">
        <x:v>Medical College</x:v>
      </x:c>
      <x:c r="E165" s="14" t="str">
        <x:v>Private</x:v>
      </x:c>
      <x:c r="F165" s="14" t="str">
        <x:v>MBBS</x:v>
      </x:c>
      <x:c r="G165" s="14" t="str"/>
      <x:c r="H165" s="14" t="str"/>
      <x:c r="I165" s="14" t="str">
        <x:v>https://dgme.portal.gov.bd/pages/static-pages/6922dd3c933eb65569e140f7</x:v>
      </x:c>
    </x:row>
    <x:row r="166">
      <x:c r="A166" s="14" t="str">
        <x:v>Dhaka</x:v>
      </x:c>
      <x:c r="B166" s="14" t="str">
        <x:v>Dhaka</x:v>
      </x:c>
      <x:c r="C166" s="14" t="str">
        <x:v>Armed Forces Medical College</x:v>
      </x:c>
      <x:c r="D166" s="14" t="str">
        <x:v>Medical College</x:v>
      </x:c>
      <x:c r="E166" s="14" t="str">
        <x:v>Military</x:v>
      </x:c>
      <x:c r="F166" s="14" t="str">
        <x:v>MBBS / Armed Forces</x:v>
      </x:c>
      <x:c r="G166" s="14" t="str"/>
      <x:c r="H166" s="14" t="str"/>
      <x:c r="I166" s="14" t="str">
        <x:v>https://en.wikipedia.org/wiki/List_of_medical_colleges_in_Bangladesh</x:v>
      </x:c>
    </x:row>
    <x:row r="167">
      <x:c r="A167" s="14" t="str">
        <x:v>Dhaka</x:v>
      </x:c>
      <x:c r="B167" s="14" t="str">
        <x:v>Faridpur</x:v>
      </x:c>
      <x:c r="C167" s="14" t="str">
        <x:v>Times University Bangladesh</x:v>
      </x:c>
      <x:c r="D167" s="14" t="str">
        <x:v>University</x:v>
      </x:c>
      <x:c r="E167" s="14" t="str">
        <x:v>Private</x:v>
      </x:c>
      <x:c r="F167" s="14" t="str">
        <x:v>General</x:v>
      </x:c>
      <x:c r="G167" s="14" t="str"/>
      <x:c r="H167" s="14" t="str"/>
      <x:c r="I167" s="14" t="str">
        <x:v>https://www.ugc-universities.gov.bd/private-universities</x:v>
      </x:c>
    </x:row>
    <x:row r="168">
      <x:c r="A168" s="14" t="str">
        <x:v>Dhaka</x:v>
      </x:c>
      <x:c r="B168" s="14" t="str">
        <x:v>Faridpur</x:v>
      </x:c>
      <x:c r="C168" s="14" t="str">
        <x:v>Faridpur Medical College</x:v>
      </x:c>
      <x:c r="D168" s="14" t="str">
        <x:v>Medical College</x:v>
      </x:c>
      <x:c r="E168" s="14" t="str">
        <x:v>Public</x:v>
      </x:c>
      <x:c r="F168" s="14" t="str">
        <x:v>MBBS</x:v>
      </x:c>
      <x:c r="G168" s="14" t="str"/>
      <x:c r="H168" s="14" t="str"/>
      <x:c r="I168" s="14" t="str">
        <x:v>https://en.wikipedia.org/wiki/List_of_medical_colleges_in_Bangladesh</x:v>
      </x:c>
    </x:row>
    <x:row r="169">
      <x:c r="A169" s="14" t="str">
        <x:v>Dhaka</x:v>
      </x:c>
      <x:c r="B169" s="14" t="str">
        <x:v>Faridpur</x:v>
      </x:c>
      <x:c r="C169" s="14" t="str">
        <x:v>Diabetic Association Medical College</x:v>
      </x:c>
      <x:c r="D169" s="14" t="str">
        <x:v>Medical College</x:v>
      </x:c>
      <x:c r="E169" s="14" t="str">
        <x:v>Private</x:v>
      </x:c>
      <x:c r="F169" s="14" t="str">
        <x:v>MBBS</x:v>
      </x:c>
      <x:c r="G169" s="14" t="str"/>
      <x:c r="H169" s="14" t="str"/>
      <x:c r="I169" s="14" t="str">
        <x:v>https://dgme.portal.gov.bd/pages/static-pages/6922dd3c933eb65569e140f7</x:v>
      </x:c>
    </x:row>
    <x:row r="170">
      <x:c r="A170" s="14" t="str">
        <x:v>Dhaka</x:v>
      </x:c>
      <x:c r="B170" s="14" t="str">
        <x:v>Gazipur</x:v>
      </x:c>
      <x:c r="C170" s="14" t="str">
        <x:v>Bangladesh Open University</x:v>
      </x:c>
      <x:c r="D170" s="14" t="str">
        <x:v>University</x:v>
      </x:c>
      <x:c r="E170" s="14" t="str">
        <x:v>Public</x:v>
      </x:c>
      <x:c r="F170" s="14" t="str">
        <x:v>Open / Distance</x:v>
      </x:c>
      <x:c r="G170" s="14" t="str"/>
      <x:c r="H170" s="14" t="str"/>
      <x:c r="I170" s="14" t="str">
        <x:v>https://www.ugc-universities.gov.bd/</x:v>
      </x:c>
    </x:row>
    <x:row r="171">
      <x:c r="A171" s="14" t="str">
        <x:v>Dhaka</x:v>
      </x:c>
      <x:c r="B171" s="14" t="str">
        <x:v>Gazipur</x:v>
      </x:c>
      <x:c r="C171" s="14" t="str">
        <x:v>Dhaka University of Engineering &amp; Technology</x:v>
      </x:c>
      <x:c r="D171" s="14" t="str">
        <x:v>University</x:v>
      </x:c>
      <x:c r="E171" s="14" t="str">
        <x:v>Public</x:v>
      </x:c>
      <x:c r="F171" s="14" t="str">
        <x:v>Engineering</x:v>
      </x:c>
      <x:c r="G171" s="14" t="str"/>
      <x:c r="H171" s="14" t="str"/>
      <x:c r="I171" s="14" t="str">
        <x:v>https://www.ugc-universities.gov.bd/</x:v>
      </x:c>
    </x:row>
    <x:row r="172">
      <x:c r="A172" s="14" t="str">
        <x:v>Dhaka</x:v>
      </x:c>
      <x:c r="B172" s="14" t="str">
        <x:v>Gazipur</x:v>
      </x:c>
      <x:c r="C172" s="14" t="str">
        <x:v>Gazipur Agricultural University</x:v>
      </x:c>
      <x:c r="D172" s="14" t="str">
        <x:v>University</x:v>
      </x:c>
      <x:c r="E172" s="14" t="str">
        <x:v>Public</x:v>
      </x:c>
      <x:c r="F172" s="14" t="str">
        <x:v>Agricultural</x:v>
      </x:c>
      <x:c r="G172" s="14" t="str"/>
      <x:c r="H172" s="14" t="str"/>
      <x:c r="I172" s="14" t="str">
        <x:v>https://www.ugc-universities.gov.bd/</x:v>
      </x:c>
    </x:row>
    <x:row r="173">
      <x:c r="A173" s="14" t="str">
        <x:v>Dhaka</x:v>
      </x:c>
      <x:c r="B173" s="14" t="str">
        <x:v>Gazipur</x:v>
      </x:c>
      <x:c r="C173" s="14" t="str">
        <x:v>National University, Bangladesh</x:v>
      </x:c>
      <x:c r="D173" s="14" t="str">
        <x:v>University</x:v>
      </x:c>
      <x:c r="E173" s="14" t="str">
        <x:v>Public</x:v>
      </x:c>
      <x:c r="F173" s="14" t="str">
        <x:v>Affiliating / Open access</x:v>
      </x:c>
      <x:c r="G173" s="14" t="str"/>
      <x:c r="H173" s="14" t="str"/>
      <x:c r="I173" s="14" t="str">
        <x:v>https://www.ugc-universities.gov.bd/</x:v>
      </x:c>
    </x:row>
    <x:row r="174">
      <x:c r="A174" s="14" t="str">
        <x:v>Dhaka</x:v>
      </x:c>
      <x:c r="B174" s="14" t="str">
        <x:v>Gazipur</x:v>
      </x:c>
      <x:c r="C174" s="14" t="str">
        <x:v>University of Frontier Technology, Bangladesh</x:v>
      </x:c>
      <x:c r="D174" s="14" t="str">
        <x:v>University</x:v>
      </x:c>
      <x:c r="E174" s="14" t="str">
        <x:v>Public</x:v>
      </x:c>
      <x:c r="F174" s="14" t="str">
        <x:v>Specialized technology</x:v>
      </x:c>
      <x:c r="G174" s="14" t="str"/>
      <x:c r="H174" s="14" t="str"/>
      <x:c r="I174" s="14" t="str">
        <x:v>https://www.ugc-universities.gov.bd/</x:v>
      </x:c>
    </x:row>
    <x:row r="175">
      <x:c r="A175" s="14" t="str">
        <x:v>Dhaka</x:v>
      </x:c>
      <x:c r="B175" s="14" t="str">
        <x:v>Gazipur</x:v>
      </x:c>
      <x:c r="C175" s="14" t="str">
        <x:v>Islamic University of Technology</x:v>
      </x:c>
      <x:c r="D175" s="14" t="str">
        <x:v>University</x:v>
      </x:c>
      <x:c r="E175" s="14" t="str">
        <x:v>International</x:v>
      </x:c>
      <x:c r="F175" s="14" t="str">
        <x:v>International / OIC</x:v>
      </x:c>
      <x:c r="G175" s="14" t="str"/>
      <x:c r="H175" s="14" t="str"/>
      <x:c r="I175" s="14" t="str">
        <x:v>https://www.ugc-universities.gov.bd/international-universities</x:v>
      </x:c>
    </x:row>
    <x:row r="176">
      <x:c r="A176" s="14" t="str">
        <x:v>Dhaka</x:v>
      </x:c>
      <x:c r="B176" s="14" t="str">
        <x:v>Gazipur</x:v>
      </x:c>
      <x:c r="C176" s="14" t="str">
        <x:v>Shaheed Tajuddin Ahmad Medical College</x:v>
      </x:c>
      <x:c r="D176" s="14" t="str">
        <x:v>Medical College</x:v>
      </x:c>
      <x:c r="E176" s="14" t="str">
        <x:v>Public</x:v>
      </x:c>
      <x:c r="F176" s="14" t="str">
        <x:v>MBBS</x:v>
      </x:c>
      <x:c r="G176" s="14" t="str"/>
      <x:c r="H176" s="14" t="str"/>
      <x:c r="I176" s="14" t="str">
        <x:v>https://en.wikipedia.org/wiki/List_of_medical_colleges_in_Bangladesh</x:v>
      </x:c>
    </x:row>
    <x:row r="177">
      <x:c r="A177" s="14" t="str">
        <x:v>Dhaka</x:v>
      </x:c>
      <x:c r="B177" s="14" t="str">
        <x:v>Gazipur</x:v>
      </x:c>
      <x:c r="C177" s="14" t="str">
        <x:v>City Medical College</x:v>
      </x:c>
      <x:c r="D177" s="14" t="str">
        <x:v>Medical College</x:v>
      </x:c>
      <x:c r="E177" s="14" t="str">
        <x:v>Private</x:v>
      </x:c>
      <x:c r="F177" s="14" t="str">
        <x:v>MBBS</x:v>
      </x:c>
      <x:c r="G177" s="14" t="str"/>
      <x:c r="H177" s="14" t="str"/>
      <x:c r="I177" s="14" t="str">
        <x:v>https://dgme.portal.gov.bd/pages/static-pages/6922dd3c933eb65569e140f7</x:v>
      </x:c>
    </x:row>
    <x:row r="178">
      <x:c r="A178" s="14" t="str">
        <x:v>Dhaka</x:v>
      </x:c>
      <x:c r="B178" s="14" t="str">
        <x:v>Gazipur</x:v>
      </x:c>
      <x:c r="C178" s="14" t="str">
        <x:v>International Medical College</x:v>
      </x:c>
      <x:c r="D178" s="14" t="str">
        <x:v>Medical College</x:v>
      </x:c>
      <x:c r="E178" s="14" t="str">
        <x:v>Private</x:v>
      </x:c>
      <x:c r="F178" s="14" t="str">
        <x:v>MBBS</x:v>
      </x:c>
      <x:c r="G178" s="14" t="str"/>
      <x:c r="H178" s="14" t="str"/>
      <x:c r="I178" s="14" t="str">
        <x:v>https://dgme.portal.gov.bd/pages/static-pages/6922dd3c933eb65569e140f7</x:v>
      </x:c>
    </x:row>
    <x:row r="179">
      <x:c r="A179" s="14" t="str">
        <x:v>Dhaka</x:v>
      </x:c>
      <x:c r="B179" s="14" t="str">
        <x:v>Gazipur</x:v>
      </x:c>
      <x:c r="C179" s="14" t="str">
        <x:v>Tairunnessa Memorial Medical College</x:v>
      </x:c>
      <x:c r="D179" s="14" t="str">
        <x:v>Medical College</x:v>
      </x:c>
      <x:c r="E179" s="14" t="str">
        <x:v>Private</x:v>
      </x:c>
      <x:c r="F179" s="14" t="str">
        <x:v>MBBS</x:v>
      </x:c>
      <x:c r="G179" s="14" t="str"/>
      <x:c r="H179" s="14" t="str"/>
      <x:c r="I179" s="14" t="str">
        <x:v>https://dgme.portal.gov.bd/pages/static-pages/6922dd3c933eb65569e140f7</x:v>
      </x:c>
    </x:row>
    <x:row r="180">
      <x:c r="A180" s="14" t="str">
        <x:v>Dhaka</x:v>
      </x:c>
      <x:c r="B180" s="14" t="str">
        <x:v>Gopalganj</x:v>
      </x:c>
      <x:c r="C180" s="14" t="str">
        <x:v>Gopalganj Science and Technology University</x:v>
      </x:c>
      <x:c r="D180" s="14" t="str">
        <x:v>University</x:v>
      </x:c>
      <x:c r="E180" s="14" t="str">
        <x:v>Public</x:v>
      </x:c>
      <x:c r="F180" s="14" t="str">
        <x:v>Science &amp; Technology</x:v>
      </x:c>
      <x:c r="G180" s="14" t="str"/>
      <x:c r="H180" s="14" t="str"/>
      <x:c r="I180" s="14" t="str">
        <x:v>https://www.ugc-universities.gov.bd/</x:v>
      </x:c>
    </x:row>
    <x:row r="181">
      <x:c r="A181" s="14" t="str">
        <x:v>Dhaka</x:v>
      </x:c>
      <x:c r="B181" s="14" t="str">
        <x:v>Gopalganj</x:v>
      </x:c>
      <x:c r="C181" s="14" t="str">
        <x:v>Gopalganj Medical College</x:v>
      </x:c>
      <x:c r="D181" s="14" t="str">
        <x:v>Medical College</x:v>
      </x:c>
      <x:c r="E181" s="14" t="str">
        <x:v>Public</x:v>
      </x:c>
      <x:c r="F181" s="14" t="str">
        <x:v>MBBS</x:v>
      </x:c>
      <x:c r="G181" s="14" t="str"/>
      <x:c r="H181" s="14" t="str"/>
      <x:c r="I181" s="14" t="str">
        <x:v>https://en.wikipedia.org/wiki/List_of_medical_colleges_in_Bangladesh</x:v>
      </x:c>
    </x:row>
    <x:row r="182">
      <x:c r="A182" s="14" t="str">
        <x:v>Dhaka</x:v>
      </x:c>
      <x:c r="B182" s="14" t="str">
        <x:v>Kishoreganj</x:v>
      </x:c>
      <x:c r="C182" s="14" t="str">
        <x:v>Kishoreganj University</x:v>
      </x:c>
      <x:c r="D182" s="14" t="str">
        <x:v>University</x:v>
      </x:c>
      <x:c r="E182" s="14" t="str">
        <x:v>Public</x:v>
      </x:c>
      <x:c r="F182" s="14" t="str">
        <x:v>General</x:v>
      </x:c>
      <x:c r="G182" s="14" t="str"/>
      <x:c r="H182" s="14" t="str"/>
      <x:c r="I182" s="14" t="str">
        <x:v>https://www.ugc-universities.gov.bd/</x:v>
      </x:c>
    </x:row>
    <x:row r="183">
      <x:c r="A183" s="14" t="str">
        <x:v>Dhaka</x:v>
      </x:c>
      <x:c r="B183" s="14" t="str">
        <x:v>Kishoreganj</x:v>
      </x:c>
      <x:c r="C183" s="14" t="str">
        <x:v>Ishakha International University, Bangladesh</x:v>
      </x:c>
      <x:c r="D183" s="14" t="str">
        <x:v>University</x:v>
      </x:c>
      <x:c r="E183" s="14" t="str">
        <x:v>Private</x:v>
      </x:c>
      <x:c r="F183" s="14" t="str">
        <x:v>General</x:v>
      </x:c>
      <x:c r="G183" s="14" t="str"/>
      <x:c r="H183" s="14" t="str"/>
      <x:c r="I183" s="14" t="str">
        <x:v>https://www.ugc-universities.gov.bd/private-universities</x:v>
      </x:c>
    </x:row>
    <x:row r="184">
      <x:c r="A184" s="14" t="str">
        <x:v>Dhaka</x:v>
      </x:c>
      <x:c r="B184" s="14" t="str">
        <x:v>Kishoreganj</x:v>
      </x:c>
      <x:c r="C184" s="14" t="str">
        <x:v>Sheikh Hasina University of Science and Technology / Dr. Momtaz Begum University of Science and Technology</x:v>
      </x:c>
      <x:c r="D184" s="14" t="str">
        <x:v>University</x:v>
      </x:c>
      <x:c r="E184" s="14" t="str">
        <x:v>Private</x:v>
      </x:c>
      <x:c r="F184" s="14" t="str">
        <x:v>Science &amp; Technology</x:v>
      </x:c>
      <x:c r="G184" s="14" t="str"/>
      <x:c r="H184" s="14" t="str">
        <x:v>Name/status changed; check UGC detail before admission</x:v>
      </x:c>
      <x:c r="I184" s="14" t="str">
        <x:v>https://www.ugc-universities.gov.bd/private-universities</x:v>
      </x:c>
    </x:row>
    <x:row r="185">
      <x:c r="A185" s="14" t="str">
        <x:v>Dhaka</x:v>
      </x:c>
      <x:c r="B185" s="14" t="str">
        <x:v>Kishoreganj</x:v>
      </x:c>
      <x:c r="C185" s="14" t="str">
        <x:v>Shahid Syed Nazrul Islam Medical College</x:v>
      </x:c>
      <x:c r="D185" s="14" t="str">
        <x:v>Medical College</x:v>
      </x:c>
      <x:c r="E185" s="14" t="str">
        <x:v>Public</x:v>
      </x:c>
      <x:c r="F185" s="14" t="str">
        <x:v>MBBS</x:v>
      </x:c>
      <x:c r="G185" s="14" t="str"/>
      <x:c r="H185" s="14" t="str"/>
      <x:c r="I185" s="14" t="str">
        <x:v>https://en.wikipedia.org/wiki/List_of_medical_colleges_in_Bangladesh</x:v>
      </x:c>
    </x:row>
    <x:row r="186">
      <x:c r="A186" s="14" t="str">
        <x:v>Dhaka</x:v>
      </x:c>
      <x:c r="B186" s="14" t="str">
        <x:v>Kishoreganj</x:v>
      </x:c>
      <x:c r="C186" s="14" t="str">
        <x:v>Jahurul Islam Medical College</x:v>
      </x:c>
      <x:c r="D186" s="14" t="str">
        <x:v>Medical College</x:v>
      </x:c>
      <x:c r="E186" s="14" t="str">
        <x:v>Private</x:v>
      </x:c>
      <x:c r="F186" s="14" t="str">
        <x:v>MBBS</x:v>
      </x:c>
      <x:c r="G186" s="14" t="str"/>
      <x:c r="H186" s="14" t="str"/>
      <x:c r="I186" s="14" t="str">
        <x:v>https://dgme.portal.gov.bd/pages/static-pages/6922dd3c933eb65569e140f7</x:v>
      </x:c>
    </x:row>
    <x:row r="187">
      <x:c r="A187" s="14" t="str">
        <x:v>Dhaka</x:v>
      </x:c>
      <x:c r="B187" s="14" t="str">
        <x:v>Kishoreganj</x:v>
      </x:c>
      <x:c r="C187" s="14" t="str">
        <x:v>President Abdul Hamid Medical College</x:v>
      </x:c>
      <x:c r="D187" s="14" t="str">
        <x:v>Medical College</x:v>
      </x:c>
      <x:c r="E187" s="14" t="str">
        <x:v>Private</x:v>
      </x:c>
      <x:c r="F187" s="14" t="str">
        <x:v>MBBS</x:v>
      </x:c>
      <x:c r="G187" s="14" t="str"/>
      <x:c r="H187" s="14" t="str"/>
      <x:c r="I187" s="14" t="str">
        <x:v>https://dgme.portal.gov.bd/pages/static-pages/6922dd3c933eb65569e140f7</x:v>
      </x:c>
    </x:row>
    <x:row r="188">
      <x:c r="A188" s="14" t="str">
        <x:v>Dhaka</x:v>
      </x:c>
      <x:c r="B188" s="14" t="str">
        <x:v>Manikganj</x:v>
      </x:c>
      <x:c r="C188" s="14" t="str">
        <x:v>NPI University of Bangladesh</x:v>
      </x:c>
      <x:c r="D188" s="14" t="str">
        <x:v>University</x:v>
      </x:c>
      <x:c r="E188" s="14" t="str">
        <x:v>Private</x:v>
      </x:c>
      <x:c r="F188" s="14" t="str">
        <x:v>General</x:v>
      </x:c>
      <x:c r="G188" s="14" t="str"/>
      <x:c r="H188" s="14" t="str"/>
      <x:c r="I188" s="14" t="str">
        <x:v>https://www.ugc-universities.gov.bd/private-universities</x:v>
      </x:c>
    </x:row>
    <x:row r="189">
      <x:c r="A189" s="14" t="str">
        <x:v>Dhaka</x:v>
      </x:c>
      <x:c r="B189" s="14" t="str">
        <x:v>Manikganj</x:v>
      </x:c>
      <x:c r="C189" s="14" t="str">
        <x:v>Manikganj Medical College</x:v>
      </x:c>
      <x:c r="D189" s="14" t="str">
        <x:v>Medical College</x:v>
      </x:c>
      <x:c r="E189" s="14" t="str">
        <x:v>Public</x:v>
      </x:c>
      <x:c r="F189" s="14" t="str">
        <x:v>MBBS</x:v>
      </x:c>
      <x:c r="G189" s="14" t="str"/>
      <x:c r="H189" s="14" t="str"/>
      <x:c r="I189" s="14" t="str">
        <x:v>https://en.wikipedia.org/wiki/List_of_medical_colleges_in_Bangladesh</x:v>
      </x:c>
    </x:row>
    <x:row r="190">
      <x:c r="A190" s="14" t="str">
        <x:v>Dhaka</x:v>
      </x:c>
      <x:c r="B190" s="14" t="str">
        <x:v>Manikganj</x:v>
      </x:c>
      <x:c r="C190" s="14" t="str">
        <x:v>Monno Medical College</x:v>
      </x:c>
      <x:c r="D190" s="14" t="str">
        <x:v>Medical College</x:v>
      </x:c>
      <x:c r="E190" s="14" t="str">
        <x:v>Private</x:v>
      </x:c>
      <x:c r="F190" s="14" t="str">
        <x:v>MBBS</x:v>
      </x:c>
      <x:c r="G190" s="14" t="str"/>
      <x:c r="H190" s="14" t="str"/>
      <x:c r="I190" s="14" t="str">
        <x:v>https://dgme.portal.gov.bd/pages/static-pages/6922dd3c933eb65569e140f7</x:v>
      </x:c>
    </x:row>
    <x:row r="191">
      <x:c r="A191" s="14" t="str">
        <x:v>Dhaka</x:v>
      </x:c>
      <x:c r="B191" s="14" t="str">
        <x:v>Munshiganj</x:v>
      </x:c>
      <x:c r="C191" s="14" t="str">
        <x:v>Bikrampur Bhuiyan's Medical College</x:v>
      </x:c>
      <x:c r="D191" s="14" t="str">
        <x:v>Medical College</x:v>
      </x:c>
      <x:c r="E191" s="14" t="str">
        <x:v>Private</x:v>
      </x:c>
      <x:c r="F191" s="14" t="str">
        <x:v>MBBS</x:v>
      </x:c>
      <x:c r="G191" s="14" t="str"/>
      <x:c r="H191" s="14" t="str"/>
      <x:c r="I191" s="14" t="str">
        <x:v>https://dgme.portal.gov.bd/pages/static-pages/6922dd3c933eb65569e140f7</x:v>
      </x:c>
    </x:row>
    <x:row r="192">
      <x:c r="A192" s="14" t="str">
        <x:v>Dhaka</x:v>
      </x:c>
      <x:c r="B192" s="14" t="str">
        <x:v>Narayanganj</x:v>
      </x:c>
      <x:c r="C192" s="14" t="str">
        <x:v>Narayanganj Science and Technology University</x:v>
      </x:c>
      <x:c r="D192" s="14" t="str">
        <x:v>University</x:v>
      </x:c>
      <x:c r="E192" s="14" t="str">
        <x:v>Public</x:v>
      </x:c>
      <x:c r="F192" s="14" t="str">
        <x:v>Science &amp; Technology</x:v>
      </x:c>
      <x:c r="G192" s="14" t="str"/>
      <x:c r="H192" s="14" t="str"/>
      <x:c r="I192" s="14" t="str">
        <x:v>https://www.ugc-universities.gov.bd/</x:v>
      </x:c>
    </x:row>
    <x:row r="193">
      <x:c r="A193" s="14" t="str">
        <x:v>Dhaka</x:v>
      </x:c>
      <x:c r="B193" s="14" t="str">
        <x:v>Narayanganj</x:v>
      </x:c>
      <x:c r="C193" s="14" t="str">
        <x:v>Ranada Prasad Shaha University</x:v>
      </x:c>
      <x:c r="D193" s="14" t="str">
        <x:v>University</x:v>
      </x:c>
      <x:c r="E193" s="14" t="str">
        <x:v>Private</x:v>
      </x:c>
      <x:c r="F193" s="14" t="str">
        <x:v>General</x:v>
      </x:c>
      <x:c r="G193" s="14" t="str"/>
      <x:c r="H193" s="14" t="str"/>
      <x:c r="I193" s="14" t="str">
        <x:v>https://www.ugc-universities.gov.bd/private-universities</x:v>
      </x:c>
    </x:row>
    <x:row r="194">
      <x:c r="A194" s="14" t="str">
        <x:v>Dhaka</x:v>
      </x:c>
      <x:c r="B194" s="14" t="str">
        <x:v>Narayanganj</x:v>
      </x:c>
      <x:c r="C194" s="14" t="str">
        <x:v>Rupayan A.K.M Shamsuzzoha University</x:v>
      </x:c>
      <x:c r="D194" s="14" t="str">
        <x:v>University</x:v>
      </x:c>
      <x:c r="E194" s="14" t="str">
        <x:v>Private</x:v>
      </x:c>
      <x:c r="F194" s="14" t="str">
        <x:v>General</x:v>
      </x:c>
      <x:c r="G194" s="14" t="str"/>
      <x:c r="H194" s="14" t="str">
        <x:v>UGC detail exists; status should be checked before admission</x:v>
      </x:c>
      <x:c r="I194" s="14" t="str">
        <x:v>https://www.ugc-universities.gov.bd/private-universities</x:v>
      </x:c>
    </x:row>
    <x:row r="195">
      <x:c r="A195" s="14" t="str">
        <x:v>Dhaka</x:v>
      </x:c>
      <x:c r="B195" s="14" t="str">
        <x:v>Narayanganj</x:v>
      </x:c>
      <x:c r="C195" s="14" t="str">
        <x:v>US-Bangla Medical College</x:v>
      </x:c>
      <x:c r="D195" s="14" t="str">
        <x:v>Medical College</x:v>
      </x:c>
      <x:c r="E195" s="14" t="str">
        <x:v>Private</x:v>
      </x:c>
      <x:c r="F195" s="14" t="str">
        <x:v>MBBS</x:v>
      </x:c>
      <x:c r="G195" s="14" t="str"/>
      <x:c r="H195" s="14" t="str"/>
      <x:c r="I195" s="14" t="str">
        <x:v>https://dgme.portal.gov.bd/pages/static-pages/6922dd3c933eb65569e140f7</x:v>
      </x:c>
    </x:row>
    <x:row r="196">
      <x:c r="A196" s="14" t="str">
        <x:v>Dhaka</x:v>
      </x:c>
      <x:c r="B196" s="14" t="str">
        <x:v>Shariatpur</x:v>
      </x:c>
      <x:c r="C196" s="14" t="str">
        <x:v>Shariatpur Agriculture University</x:v>
      </x:c>
      <x:c r="D196" s="14" t="str">
        <x:v>University</x:v>
      </x:c>
      <x:c r="E196" s="14" t="str">
        <x:v>Public</x:v>
      </x:c>
      <x:c r="F196" s="14" t="str">
        <x:v>Agricultural</x:v>
      </x:c>
      <x:c r="G196" s="14" t="str"/>
      <x:c r="H196" s="14" t="str"/>
      <x:c r="I196" s="14" t="str">
        <x:v>https://www.ugc-universities.gov.bd/</x:v>
      </x:c>
    </x:row>
    <x:row r="197">
      <x:c r="A197" s="14" t="str">
        <x:v>Dhaka</x:v>
      </x:c>
      <x:c r="B197" s="14" t="str">
        <x:v>Shariatpur</x:v>
      </x:c>
      <x:c r="C197" s="14" t="str">
        <x:v>Monowara Sikder Medical College</x:v>
      </x:c>
      <x:c r="D197" s="14" t="str">
        <x:v>Medical College</x:v>
      </x:c>
      <x:c r="E197" s="14" t="str">
        <x:v>Private</x:v>
      </x:c>
      <x:c r="F197" s="14" t="str">
        <x:v>MBBS</x:v>
      </x:c>
      <x:c r="G197" s="14" t="str"/>
      <x:c r="H197" s="14" t="str"/>
      <x:c r="I197" s="14" t="str">
        <x:v>https://dgme.portal.gov.bd/pages/static-pages/6922dd3c933eb65569e140f7</x:v>
      </x:c>
    </x:row>
    <x:row r="198">
      <x:c r="A198" s="14" t="str">
        <x:v>Dhaka</x:v>
      </x:c>
      <x:c r="B198" s="14" t="str">
        <x:v>Tangail</x:v>
      </x:c>
      <x:c r="C198" s="14" t="str">
        <x:v>Mawlana Bhashani Science and Technology University</x:v>
      </x:c>
      <x:c r="D198" s="14" t="str">
        <x:v>University</x:v>
      </x:c>
      <x:c r="E198" s="14" t="str">
        <x:v>Public</x:v>
      </x:c>
      <x:c r="F198" s="14" t="str">
        <x:v>Science &amp; Technology</x:v>
      </x:c>
      <x:c r="G198" s="14" t="str"/>
      <x:c r="H198" s="14" t="str"/>
      <x:c r="I198" s="14" t="str">
        <x:v>https://www.ugc-universities.gov.bd/</x:v>
      </x:c>
    </x:row>
    <x:row r="199">
      <x:c r="A199" s="14" t="str">
        <x:v>Dhaka</x:v>
      </x:c>
      <x:c r="B199" s="14" t="str">
        <x:v>Tangail</x:v>
      </x:c>
      <x:c r="C199" s="14" t="str">
        <x:v>Tangail Medical College</x:v>
      </x:c>
      <x:c r="D199" s="14" t="str">
        <x:v>Medical College</x:v>
      </x:c>
      <x:c r="E199" s="14" t="str">
        <x:v>Public</x:v>
      </x:c>
      <x:c r="F199" s="14" t="str">
        <x:v>MBBS</x:v>
      </x:c>
      <x:c r="G199" s="14" t="str"/>
      <x:c r="H199" s="14" t="str"/>
      <x:c r="I199" s="14" t="str">
        <x:v>https://en.wikipedia.org/wiki/List_of_medical_colleges_in_Bangladesh</x:v>
      </x:c>
    </x:row>
    <x:row r="200">
      <x:c r="A200" s="14" t="str">
        <x:v>Dhaka</x:v>
      </x:c>
      <x:c r="B200" s="14" t="str">
        <x:v>Tangail</x:v>
      </x:c>
      <x:c r="C200" s="14" t="str">
        <x:v>Kumudini Women's Medical College</x:v>
      </x:c>
      <x:c r="D200" s="14" t="str">
        <x:v>Medical College</x:v>
      </x:c>
      <x:c r="E200" s="14" t="str">
        <x:v>Private</x:v>
      </x:c>
      <x:c r="F200" s="14" t="str">
        <x:v>MBBS</x:v>
      </x:c>
      <x:c r="G200" s="14" t="str"/>
      <x:c r="H200" s="14" t="str"/>
      <x:c r="I200" s="14" t="str">
        <x:v>https://dgme.portal.gov.bd/pages/static-pages/6922dd3c933eb65569e140f7</x:v>
      </x:c>
    </x:row>
    <x:row r="201">
      <x:c r="A201" s="14" t="str">
        <x:v>Khulna</x:v>
      </x:c>
      <x:c r="B201" s="14" t="str">
        <x:v>Chuadanga</x:v>
      </x:c>
      <x:c r="C201" s="14" t="str">
        <x:v>First Capital University of Bangladesh</x:v>
      </x:c>
      <x:c r="D201" s="14" t="str">
        <x:v>University</x:v>
      </x:c>
      <x:c r="E201" s="14" t="str">
        <x:v>Private</x:v>
      </x:c>
      <x:c r="F201" s="14" t="str">
        <x:v>General</x:v>
      </x:c>
      <x:c r="G201" s="14" t="str"/>
      <x:c r="H201" s="14" t="str"/>
      <x:c r="I201" s="14" t="str">
        <x:v>https://www.ugc-universities.gov.bd/private-universities</x:v>
      </x:c>
    </x:row>
    <x:row r="202">
      <x:c r="A202" s="14" t="str">
        <x:v>Khulna</x:v>
      </x:c>
      <x:c r="B202" s="14" t="str">
        <x:v>Jashore</x:v>
      </x:c>
      <x:c r="C202" s="14" t="str">
        <x:v>Jashore University of Science and Technology</x:v>
      </x:c>
      <x:c r="D202" s="14" t="str">
        <x:v>University</x:v>
      </x:c>
      <x:c r="E202" s="14" t="str">
        <x:v>Public</x:v>
      </x:c>
      <x:c r="F202" s="14" t="str">
        <x:v>Science &amp; Technology</x:v>
      </x:c>
      <x:c r="G202" s="14" t="str"/>
      <x:c r="H202" s="14" t="str"/>
      <x:c r="I202" s="14" t="str">
        <x:v>https://www.ugc-universities.gov.bd/</x:v>
      </x:c>
    </x:row>
    <x:row r="203">
      <x:c r="A203" s="14" t="str">
        <x:v>Khulna</x:v>
      </x:c>
      <x:c r="B203" s="14" t="str">
        <x:v>Jashore</x:v>
      </x:c>
      <x:c r="C203" s="14" t="str">
        <x:v>Jashore Medical College</x:v>
      </x:c>
      <x:c r="D203" s="14" t="str">
        <x:v>Medical College</x:v>
      </x:c>
      <x:c r="E203" s="14" t="str">
        <x:v>Public</x:v>
      </x:c>
      <x:c r="F203" s="14" t="str">
        <x:v>MBBS</x:v>
      </x:c>
      <x:c r="G203" s="14" t="str"/>
      <x:c r="H203" s="14" t="str"/>
      <x:c r="I203" s="14" t="str">
        <x:v>https://en.wikipedia.org/wiki/List_of_medical_colleges_in_Bangladesh</x:v>
      </x:c>
    </x:row>
    <x:row r="204">
      <x:c r="A204" s="14" t="str">
        <x:v>Khulna</x:v>
      </x:c>
      <x:c r="B204" s="14" t="str">
        <x:v>Jashore</x:v>
      </x:c>
      <x:c r="C204" s="14" t="str">
        <x:v>Ad-din Sakina Medical College</x:v>
      </x:c>
      <x:c r="D204" s="14" t="str">
        <x:v>Medical College</x:v>
      </x:c>
      <x:c r="E204" s="14" t="str">
        <x:v>Private</x:v>
      </x:c>
      <x:c r="F204" s="14" t="str">
        <x:v>MBBS</x:v>
      </x:c>
      <x:c r="G204" s="14" t="str"/>
      <x:c r="H204" s="14" t="str"/>
      <x:c r="I204" s="14" t="str">
        <x:v>https://dgme.portal.gov.bd/pages/static-pages/6922dd3c933eb65569e140f7</x:v>
      </x:c>
    </x:row>
    <x:row r="205">
      <x:c r="A205" s="14" t="str">
        <x:v>Khulna</x:v>
      </x:c>
      <x:c r="B205" s="14" t="str">
        <x:v>Jashore</x:v>
      </x:c>
      <x:c r="C205" s="14" t="str">
        <x:v>Army Medical College, Jashore</x:v>
      </x:c>
      <x:c r="D205" s="14" t="str">
        <x:v>Medical College</x:v>
      </x:c>
      <x:c r="E205" s="14" t="str">
        <x:v>Military</x:v>
      </x:c>
      <x:c r="F205" s="14" t="str">
        <x:v>MBBS / Armed Forces</x:v>
      </x:c>
      <x:c r="G205" s="14" t="str"/>
      <x:c r="H205" s="14" t="str"/>
      <x:c r="I205" s="14" t="str">
        <x:v>https://en.wikipedia.org/wiki/List_of_medical_colleges_in_Bangladesh</x:v>
      </x:c>
    </x:row>
    <x:row r="206">
      <x:c r="A206" s="14" t="str">
        <x:v>Khulna</x:v>
      </x:c>
      <x:c r="B206" s="14" t="str">
        <x:v>Khulna</x:v>
      </x:c>
      <x:c r="C206" s="14" t="str">
        <x:v>Khulna Agricultural University</x:v>
      </x:c>
      <x:c r="D206" s="14" t="str">
        <x:v>University</x:v>
      </x:c>
      <x:c r="E206" s="14" t="str">
        <x:v>Public</x:v>
      </x:c>
      <x:c r="F206" s="14" t="str">
        <x:v>Agricultural</x:v>
      </x:c>
      <x:c r="G206" s="14" t="str"/>
      <x:c r="H206" s="14" t="str"/>
      <x:c r="I206" s="14" t="str">
        <x:v>https://www.ugc-universities.gov.bd/</x:v>
      </x:c>
    </x:row>
    <x:row r="207">
      <x:c r="A207" s="14" t="str">
        <x:v>Khulna</x:v>
      </x:c>
      <x:c r="B207" s="14" t="str">
        <x:v>Khulna</x:v>
      </x:c>
      <x:c r="C207" s="14" t="str">
        <x:v>Khulna Medical University</x:v>
      </x:c>
      <x:c r="D207" s="14" t="str">
        <x:v>University</x:v>
      </x:c>
      <x:c r="E207" s="14" t="str">
        <x:v>Public</x:v>
      </x:c>
      <x:c r="F207" s="14" t="str">
        <x:v>Medical University</x:v>
      </x:c>
      <x:c r="G207" s="14" t="str"/>
      <x:c r="H207" s="14" t="str"/>
      <x:c r="I207" s="14" t="str">
        <x:v>https://en.wikipedia.org/wiki/List_of_medical_colleges_in_Bangladesh</x:v>
      </x:c>
    </x:row>
    <x:row r="208">
      <x:c r="A208" s="14" t="str">
        <x:v>Khulna</x:v>
      </x:c>
      <x:c r="B208" s="14" t="str">
        <x:v>Khulna</x:v>
      </x:c>
      <x:c r="C208" s="14" t="str">
        <x:v>Khulna University</x:v>
      </x:c>
      <x:c r="D208" s="14" t="str">
        <x:v>University</x:v>
      </x:c>
      <x:c r="E208" s="14" t="str">
        <x:v>Public</x:v>
      </x:c>
      <x:c r="F208" s="14" t="str">
        <x:v>General</x:v>
      </x:c>
      <x:c r="G208" s="14" t="str"/>
      <x:c r="H208" s="14" t="str"/>
      <x:c r="I208" s="14" t="str">
        <x:v>https://www.ugc-universities.gov.bd/</x:v>
      </x:c>
    </x:row>
    <x:row r="209">
      <x:c r="A209" s="14" t="str">
        <x:v>Khulna</x:v>
      </x:c>
      <x:c r="B209" s="14" t="str">
        <x:v>Khulna</x:v>
      </x:c>
      <x:c r="C209" s="14" t="str">
        <x:v>Khulna University of Engineering &amp; Technology</x:v>
      </x:c>
      <x:c r="D209" s="14" t="str">
        <x:v>University</x:v>
      </x:c>
      <x:c r="E209" s="14" t="str">
        <x:v>Public</x:v>
      </x:c>
      <x:c r="F209" s="14" t="str">
        <x:v>Engineering</x:v>
      </x:c>
      <x:c r="G209" s="14" t="str"/>
      <x:c r="H209" s="14" t="str"/>
      <x:c r="I209" s="14" t="str">
        <x:v>https://www.ugc-universities.gov.bd/</x:v>
      </x:c>
    </x:row>
    <x:row r="210">
      <x:c r="A210" s="14" t="str">
        <x:v>Khulna</x:v>
      </x:c>
      <x:c r="B210" s="14" t="str">
        <x:v>Khulna</x:v>
      </x:c>
      <x:c r="C210" s="14" t="str">
        <x:v>Bangladesh Army University of Science and Technology, Khulna</x:v>
      </x:c>
      <x:c r="D210" s="14" t="str">
        <x:v>University</x:v>
      </x:c>
      <x:c r="E210" s="14" t="str">
        <x:v>Private</x:v>
      </x:c>
      <x:c r="F210" s="14" t="str">
        <x:v>Science &amp; Technology / Army-sponsored</x:v>
      </x:c>
      <x:c r="G210" s="14" t="str"/>
      <x:c r="H210" s="14" t="str"/>
      <x:c r="I210" s="14" t="str">
        <x:v>https://www.ugc-universities.gov.bd/private-universities</x:v>
      </x:c>
    </x:row>
    <x:row r="211">
      <x:c r="A211" s="14" t="str">
        <x:v>Khulna</x:v>
      </x:c>
      <x:c r="B211" s="14" t="str">
        <x:v>Khulna</x:v>
      </x:c>
      <x:c r="C211" s="14" t="str">
        <x:v>Khulna Khan Bahadur Ahsanullah University</x:v>
      </x:c>
      <x:c r="D211" s="14" t="str">
        <x:v>University</x:v>
      </x:c>
      <x:c r="E211" s="14" t="str">
        <x:v>Private</x:v>
      </x:c>
      <x:c r="F211" s="14" t="str">
        <x:v>General</x:v>
      </x:c>
      <x:c r="G211" s="14" t="str"/>
      <x:c r="H211" s="14" t="str"/>
      <x:c r="I211" s="14" t="str">
        <x:v>https://www.ugc-universities.gov.bd/private-universities</x:v>
      </x:c>
    </x:row>
    <x:row r="212">
      <x:c r="A212" s="14" t="str">
        <x:v>Khulna</x:v>
      </x:c>
      <x:c r="B212" s="14" t="str">
        <x:v>Khulna</x:v>
      </x:c>
      <x:c r="C212" s="14" t="str">
        <x:v>North Western University</x:v>
      </x:c>
      <x:c r="D212" s="14" t="str">
        <x:v>University</x:v>
      </x:c>
      <x:c r="E212" s="14" t="str">
        <x:v>Private</x:v>
      </x:c>
      <x:c r="F212" s="14" t="str">
        <x:v>General</x:v>
      </x:c>
      <x:c r="G212" s="14" t="str"/>
      <x:c r="H212" s="14" t="str"/>
      <x:c r="I212" s="14" t="str">
        <x:v>https://www.ugc-universities.gov.bd/private-universities</x:v>
      </x:c>
    </x:row>
    <x:row r="213">
      <x:c r="A213" s="14" t="str">
        <x:v>Khulna</x:v>
      </x:c>
      <x:c r="B213" s="14" t="str">
        <x:v>Khulna</x:v>
      </x:c>
      <x:c r="C213" s="14" t="str">
        <x:v>Northern University of Business and Technology Khulna</x:v>
      </x:c>
      <x:c r="D213" s="14" t="str">
        <x:v>University</x:v>
      </x:c>
      <x:c r="E213" s="14" t="str">
        <x:v>Private</x:v>
      </x:c>
      <x:c r="F213" s="14" t="str">
        <x:v>General / Business &amp; Technology</x:v>
      </x:c>
      <x:c r="G213" s="14" t="str"/>
      <x:c r="H213" s="14" t="str"/>
      <x:c r="I213" s="14" t="str">
        <x:v>https://www.ugc-universities.gov.bd/private-universities</x:v>
      </x:c>
    </x:row>
    <x:row r="214">
      <x:c r="A214" s="14" t="str">
        <x:v>Khulna</x:v>
      </x:c>
      <x:c r="B214" s="14" t="str">
        <x:v>Khulna</x:v>
      </x:c>
      <x:c r="C214" s="14" t="str">
        <x:v>Khulna Medical College</x:v>
      </x:c>
      <x:c r="D214" s="14" t="str">
        <x:v>Medical College</x:v>
      </x:c>
      <x:c r="E214" s="14" t="str">
        <x:v>Public</x:v>
      </x:c>
      <x:c r="F214" s="14" t="str">
        <x:v>MBBS</x:v>
      </x:c>
      <x:c r="G214" s="14" t="str"/>
      <x:c r="H214" s="14" t="str"/>
      <x:c r="I214" s="14" t="str">
        <x:v>https://en.wikipedia.org/wiki/List_of_medical_colleges_in_Bangladesh</x:v>
      </x:c>
    </x:row>
    <x:row r="215">
      <x:c r="A215" s="14" t="str">
        <x:v>Khulna</x:v>
      </x:c>
      <x:c r="B215" s="14" t="str">
        <x:v>Khulna</x:v>
      </x:c>
      <x:c r="C215" s="14" t="str">
        <x:v>Ad-Din Akij Medical College</x:v>
      </x:c>
      <x:c r="D215" s="14" t="str">
        <x:v>Medical College</x:v>
      </x:c>
      <x:c r="E215" s="14" t="str">
        <x:v>Private</x:v>
      </x:c>
      <x:c r="F215" s="14" t="str">
        <x:v>MBBS</x:v>
      </x:c>
      <x:c r="G215" s="14" t="str"/>
      <x:c r="H215" s="14" t="str"/>
      <x:c r="I215" s="14" t="str">
        <x:v>https://dgme.portal.gov.bd/pages/static-pages/6922dd3c933eb65569e140f7</x:v>
      </x:c>
    </x:row>
    <x:row r="216">
      <x:c r="A216" s="14" t="str">
        <x:v>Khulna</x:v>
      </x:c>
      <x:c r="B216" s="14" t="str">
        <x:v>Khulna</x:v>
      </x:c>
      <x:c r="C216" s="14" t="str">
        <x:v>Gazi Medical College</x:v>
      </x:c>
      <x:c r="D216" s="14" t="str">
        <x:v>Medical College</x:v>
      </x:c>
      <x:c r="E216" s="14" t="str">
        <x:v>Private</x:v>
      </x:c>
      <x:c r="F216" s="14" t="str">
        <x:v>MBBS</x:v>
      </x:c>
      <x:c r="G216" s="14" t="str"/>
      <x:c r="H216" s="14" t="str"/>
      <x:c r="I216" s="14" t="str">
        <x:v>https://dgme.portal.gov.bd/pages/static-pages/6922dd3c933eb65569e140f7</x:v>
      </x:c>
    </x:row>
    <x:row r="217">
      <x:c r="A217" s="14" t="str">
        <x:v>Khulna</x:v>
      </x:c>
      <x:c r="B217" s="14" t="str">
        <x:v>Khulna</x:v>
      </x:c>
      <x:c r="C217" s="14" t="str">
        <x:v>Khulna City Medical College</x:v>
      </x:c>
      <x:c r="D217" s="14" t="str">
        <x:v>Medical College</x:v>
      </x:c>
      <x:c r="E217" s="14" t="str">
        <x:v>Private</x:v>
      </x:c>
      <x:c r="F217" s="14" t="str">
        <x:v>MBBS</x:v>
      </x:c>
      <x:c r="G217" s="14" t="str"/>
      <x:c r="H217" s="14" t="str"/>
      <x:c r="I217" s="14" t="str">
        <x:v>https://dgme.portal.gov.bd/pages/static-pages/6922dd3c933eb65569e140f7</x:v>
      </x:c>
    </x:row>
    <x:row r="218">
      <x:c r="A218" s="14" t="str">
        <x:v>Khulna</x:v>
      </x:c>
      <x:c r="B218" s="14" t="str">
        <x:v>Kushtia</x:v>
      </x:c>
      <x:c r="C218" s="14" t="str">
        <x:v>Islamic University, Bangladesh</x:v>
      </x:c>
      <x:c r="D218" s="14" t="str">
        <x:v>University</x:v>
      </x:c>
      <x:c r="E218" s="14" t="str">
        <x:v>Public</x:v>
      </x:c>
      <x:c r="F218" s="14" t="str">
        <x:v>General</x:v>
      </x:c>
      <x:c r="G218" s="14" t="str"/>
      <x:c r="H218" s="14" t="str">
        <x:v>Campus area is commonly described as Kushtia-Jhenaidah</x:v>
      </x:c>
      <x:c r="I218" s="14" t="str">
        <x:v>https://www.ugc-universities.gov.bd/</x:v>
      </x:c>
    </x:row>
    <x:row r="219">
      <x:c r="A219" s="14" t="str">
        <x:v>Khulna</x:v>
      </x:c>
      <x:c r="B219" s="14" t="str">
        <x:v>Kushtia</x:v>
      </x:c>
      <x:c r="C219" s="14" t="str">
        <x:v>Justice Abu Zafar Siddiquie Science and Technology University, Kustia</x:v>
      </x:c>
      <x:c r="D219" s="14" t="str">
        <x:v>University</x:v>
      </x:c>
      <x:c r="E219" s="14" t="str">
        <x:v>Private</x:v>
      </x:c>
      <x:c r="F219" s="14" t="str">
        <x:v>Science &amp; Technology</x:v>
      </x:c>
      <x:c r="G219" s="14" t="str"/>
      <x:c r="H219" s="14" t="str">
        <x:v>UGC search result notes academic-program status should be checked</x:v>
      </x:c>
      <x:c r="I219" s="14" t="str">
        <x:v>https://www.ugc-universities.gov.bd/private-universities</x:v>
      </x:c>
    </x:row>
    <x:row r="220">
      <x:c r="A220" s="14" t="str">
        <x:v>Khulna</x:v>
      </x:c>
      <x:c r="B220" s="14" t="str">
        <x:v>Kushtia</x:v>
      </x:c>
      <x:c r="C220" s="14" t="str">
        <x:v>Lalon University of Science and Arts</x:v>
      </x:c>
      <x:c r="D220" s="14" t="str">
        <x:v>University</x:v>
      </x:c>
      <x:c r="E220" s="14" t="str">
        <x:v>Private</x:v>
      </x:c>
      <x:c r="F220" s="14" t="str">
        <x:v>Science &amp; Arts</x:v>
      </x:c>
      <x:c r="G220" s="14" t="str"/>
      <x:c r="H220" s="14" t="str"/>
      <x:c r="I220" s="14" t="str">
        <x:v>https://www.ugc-universities.gov.bd/private-universities</x:v>
      </x:c>
    </x:row>
    <x:row r="221">
      <x:c r="A221" s="14" t="str">
        <x:v>Khulna</x:v>
      </x:c>
      <x:c r="B221" s="14" t="str">
        <x:v>Kushtia</x:v>
      </x:c>
      <x:c r="C221" s="14" t="str">
        <x:v>Rabindra Maitree University</x:v>
      </x:c>
      <x:c r="D221" s="14" t="str">
        <x:v>University</x:v>
      </x:c>
      <x:c r="E221" s="14" t="str">
        <x:v>Private</x:v>
      </x:c>
      <x:c r="F221" s="14" t="str">
        <x:v>General</x:v>
      </x:c>
      <x:c r="G221" s="14" t="str"/>
      <x:c r="H221" s="14" t="str"/>
      <x:c r="I221" s="14" t="str">
        <x:v>https://www.ugc-universities.gov.bd/private-universities</x:v>
      </x:c>
    </x:row>
    <x:row r="222">
      <x:c r="A222" s="14" t="str">
        <x:v>Khulna</x:v>
      </x:c>
      <x:c r="B222" s="14" t="str">
        <x:v>Kushtia</x:v>
      </x:c>
      <x:c r="C222" s="14" t="str">
        <x:v>Kushtia Medical College</x:v>
      </x:c>
      <x:c r="D222" s="14" t="str">
        <x:v>Medical College</x:v>
      </x:c>
      <x:c r="E222" s="14" t="str">
        <x:v>Public</x:v>
      </x:c>
      <x:c r="F222" s="14" t="str">
        <x:v>MBBS</x:v>
      </x:c>
      <x:c r="G222" s="14" t="str"/>
      <x:c r="H222" s="14" t="str"/>
      <x:c r="I222" s="14" t="str">
        <x:v>https://en.wikipedia.org/wiki/List_of_medical_colleges_in_Bangladesh</x:v>
      </x:c>
    </x:row>
    <x:row r="223">
      <x:c r="A223" s="14" t="str">
        <x:v>Khulna</x:v>
      </x:c>
      <x:c r="B223" s="14" t="str">
        <x:v>Magura</x:v>
      </x:c>
      <x:c r="C223" s="14" t="str">
        <x:v>Magura Medical College</x:v>
      </x:c>
      <x:c r="D223" s="14" t="str">
        <x:v>Medical College</x:v>
      </x:c>
      <x:c r="E223" s="14" t="str">
        <x:v>Public</x:v>
      </x:c>
      <x:c r="F223" s="14" t="str">
        <x:v>MBBS</x:v>
      </x:c>
      <x:c r="G223" s="14" t="str"/>
      <x:c r="H223" s="14" t="str"/>
      <x:c r="I223" s="14" t="str">
        <x:v>https://en.wikipedia.org/wiki/List_of_medical_colleges_in_Bangladesh</x:v>
      </x:c>
    </x:row>
    <x:row r="224">
      <x:c r="A224" s="14" t="str">
        <x:v>Khulna</x:v>
      </x:c>
      <x:c r="B224" s="14" t="str">
        <x:v>Meherpur</x:v>
      </x:c>
      <x:c r="C224" s="14" t="str">
        <x:v>Mujibnagar University, Meherpur</x:v>
      </x:c>
      <x:c r="D224" s="14" t="str">
        <x:v>University</x:v>
      </x:c>
      <x:c r="E224" s="14" t="str">
        <x:v>Public</x:v>
      </x:c>
      <x:c r="F224" s="14" t="str">
        <x:v>General</x:v>
      </x:c>
      <x:c r="G224" s="14" t="str"/>
      <x:c r="H224" s="14" t="str"/>
      <x:c r="I224" s="14" t="str">
        <x:v>https://www.ugc-universities.gov.bd/</x:v>
      </x:c>
    </x:row>
    <x:row r="225">
      <x:c r="A225" s="14" t="str">
        <x:v>Khulna</x:v>
      </x:c>
      <x:c r="B225" s="14" t="str">
        <x:v>Satkhira</x:v>
      </x:c>
      <x:c r="C225" s="14" t="str">
        <x:v>Satkhira University of Science and Technology</x:v>
      </x:c>
      <x:c r="D225" s="14" t="str">
        <x:v>University</x:v>
      </x:c>
      <x:c r="E225" s="14" t="str">
        <x:v>Public</x:v>
      </x:c>
      <x:c r="F225" s="14" t="str">
        <x:v>Science &amp; Technology</x:v>
      </x:c>
      <x:c r="G225" s="14" t="str"/>
      <x:c r="H225" s="14" t="str"/>
      <x:c r="I225" s="14" t="str">
        <x:v>https://www.ugc-universities.gov.bd/</x:v>
      </x:c>
    </x:row>
    <x:row r="226">
      <x:c r="A226" s="14" t="str">
        <x:v>Khulna</x:v>
      </x:c>
      <x:c r="B226" s="14" t="str">
        <x:v>Satkhira</x:v>
      </x:c>
      <x:c r="C226" s="14" t="str">
        <x:v>Satkhira Medical College</x:v>
      </x:c>
      <x:c r="D226" s="14" t="str">
        <x:v>Medical College</x:v>
      </x:c>
      <x:c r="E226" s="14" t="str">
        <x:v>Public</x:v>
      </x:c>
      <x:c r="F226" s="14" t="str">
        <x:v>MBBS</x:v>
      </x:c>
      <x:c r="G226" s="14" t="str"/>
      <x:c r="H226" s="14" t="str"/>
      <x:c r="I226" s="14" t="str">
        <x:v>https://en.wikipedia.org/wiki/List_of_medical_colleges_in_Bangladesh</x:v>
      </x:c>
    </x:row>
    <x:row r="227">
      <x:c r="A227" s="14" t="str">
        <x:v>Mymensingh</x:v>
      </x:c>
      <x:c r="B227" s="14" t="str">
        <x:v>Jamalpur</x:v>
      </x:c>
      <x:c r="C227" s="14" t="str">
        <x:v>Jamalpur Science and Technology University</x:v>
      </x:c>
      <x:c r="D227" s="14" t="str">
        <x:v>University</x:v>
      </x:c>
      <x:c r="E227" s="14" t="str">
        <x:v>Public</x:v>
      </x:c>
      <x:c r="F227" s="14" t="str">
        <x:v>Science &amp; Technology</x:v>
      </x:c>
      <x:c r="G227" s="14" t="str"/>
      <x:c r="H227" s="14" t="str"/>
      <x:c r="I227" s="14" t="str">
        <x:v>https://www.ugc-universities.gov.bd/</x:v>
      </x:c>
    </x:row>
    <x:row r="228">
      <x:c r="A228" s="14" t="str">
        <x:v>Mymensingh</x:v>
      </x:c>
      <x:c r="B228" s="14" t="str">
        <x:v>Jamalpur</x:v>
      </x:c>
      <x:c r="C228" s="14" t="str">
        <x:v>Jamalpur Medical College</x:v>
      </x:c>
      <x:c r="D228" s="14" t="str">
        <x:v>Medical College</x:v>
      </x:c>
      <x:c r="E228" s="14" t="str">
        <x:v>Public</x:v>
      </x:c>
      <x:c r="F228" s="14" t="str">
        <x:v>MBBS</x:v>
      </x:c>
      <x:c r="G228" s="14" t="str"/>
      <x:c r="H228" s="14" t="str"/>
      <x:c r="I228" s="14" t="str">
        <x:v>https://en.wikipedia.org/wiki/List_of_medical_colleges_in_Bangladesh</x:v>
      </x:c>
    </x:row>
    <x:row r="229">
      <x:c r="A229" s="14" t="str">
        <x:v>Mymensingh</x:v>
      </x:c>
      <x:c r="B229" s="14" t="str">
        <x:v>Mymensingh</x:v>
      </x:c>
      <x:c r="C229" s="14" t="str">
        <x:v>Bangladesh Agricultural University</x:v>
      </x:c>
      <x:c r="D229" s="14" t="str">
        <x:v>University</x:v>
      </x:c>
      <x:c r="E229" s="14" t="str">
        <x:v>Public</x:v>
      </x:c>
      <x:c r="F229" s="14" t="str">
        <x:v>Agricultural</x:v>
      </x:c>
      <x:c r="G229" s="14" t="str"/>
      <x:c r="H229" s="14" t="str"/>
      <x:c r="I229" s="14" t="str">
        <x:v>https://www.ugc-universities.gov.bd/</x:v>
      </x:c>
    </x:row>
    <x:row r="230">
      <x:c r="A230" s="14" t="str">
        <x:v>Mymensingh</x:v>
      </x:c>
      <x:c r="B230" s="14" t="str">
        <x:v>Mymensingh</x:v>
      </x:c>
      <x:c r="C230" s="14" t="str">
        <x:v>Jatiya Kabi Kazi Nazrul Islam University</x:v>
      </x:c>
      <x:c r="D230" s="14" t="str">
        <x:v>University</x:v>
      </x:c>
      <x:c r="E230" s="14" t="str">
        <x:v>Public</x:v>
      </x:c>
      <x:c r="F230" s="14" t="str">
        <x:v>General</x:v>
      </x:c>
      <x:c r="G230" s="14" t="str"/>
      <x:c r="H230" s="14" t="str"/>
      <x:c r="I230" s="14" t="str">
        <x:v>https://www.ugc-universities.gov.bd/</x:v>
      </x:c>
    </x:row>
    <x:row r="231">
      <x:c r="A231" s="14" t="str">
        <x:v>Mymensingh</x:v>
      </x:c>
      <x:c r="B231" s="14" t="str">
        <x:v>Mymensingh</x:v>
      </x:c>
      <x:c r="C231" s="14" t="str">
        <x:v>Mymensingh Medical College</x:v>
      </x:c>
      <x:c r="D231" s="14" t="str">
        <x:v>Medical College</x:v>
      </x:c>
      <x:c r="E231" s="14" t="str">
        <x:v>Public</x:v>
      </x:c>
      <x:c r="F231" s="14" t="str">
        <x:v>MBBS</x:v>
      </x:c>
      <x:c r="G231" s="14" t="str"/>
      <x:c r="H231" s="14" t="str"/>
      <x:c r="I231" s="14" t="str">
        <x:v>https://en.wikipedia.org/wiki/List_of_medical_colleges_in_Bangladesh</x:v>
      </x:c>
    </x:row>
    <x:row r="232">
      <x:c r="A232" s="14" t="str">
        <x:v>Mymensingh</x:v>
      </x:c>
      <x:c r="B232" s="14" t="str">
        <x:v>Mymensingh</x:v>
      </x:c>
      <x:c r="C232" s="14" t="str">
        <x:v>Community Based Medical College</x:v>
      </x:c>
      <x:c r="D232" s="14" t="str">
        <x:v>Medical College</x:v>
      </x:c>
      <x:c r="E232" s="14" t="str">
        <x:v>Private</x:v>
      </x:c>
      <x:c r="F232" s="14" t="str">
        <x:v>MBBS</x:v>
      </x:c>
      <x:c r="G232" s="14" t="str"/>
      <x:c r="H232" s="14" t="str"/>
      <x:c r="I232" s="14" t="str">
        <x:v>https://dgme.portal.gov.bd/pages/static-pages/6922dd3c933eb65569e140f7</x:v>
      </x:c>
    </x:row>
    <x:row r="233">
      <x:c r="A233" s="14" t="str">
        <x:v>Mymensingh</x:v>
      </x:c>
      <x:c r="B233" s="14" t="str">
        <x:v>Netrokona</x:v>
      </x:c>
      <x:c r="C233" s="14" t="str">
        <x:v>Netrokona University</x:v>
      </x:c>
      <x:c r="D233" s="14" t="str">
        <x:v>University</x:v>
      </x:c>
      <x:c r="E233" s="14" t="str">
        <x:v>Public</x:v>
      </x:c>
      <x:c r="F233" s="14" t="str">
        <x:v>General</x:v>
      </x:c>
      <x:c r="G233" s="14" t="str"/>
      <x:c r="H233" s="14" t="str"/>
      <x:c r="I233" s="14" t="str">
        <x:v>https://www.ugc-universities.gov.bd/</x:v>
      </x:c>
    </x:row>
    <x:row r="234">
      <x:c r="A234" s="14" t="str">
        <x:v>Mymensingh</x:v>
      </x:c>
      <x:c r="B234" s="14" t="str">
        <x:v>Netrokona</x:v>
      </x:c>
      <x:c r="C234" s="14" t="str">
        <x:v>Netrokona Medical College</x:v>
      </x:c>
      <x:c r="D234" s="14" t="str">
        <x:v>Medical College</x:v>
      </x:c>
      <x:c r="E234" s="14" t="str">
        <x:v>Public</x:v>
      </x:c>
      <x:c r="F234" s="14" t="str">
        <x:v>MBBS</x:v>
      </x:c>
      <x:c r="G234" s="14" t="str"/>
      <x:c r="H234" s="14" t="str"/>
      <x:c r="I234" s="14" t="str">
        <x:v>https://en.wikipedia.org/wiki/List_of_medical_colleges_in_Bangladesh</x:v>
      </x:c>
    </x:row>
    <x:row r="235">
      <x:c r="A235" s="14" t="str">
        <x:v>Rajshahi</x:v>
      </x:c>
      <x:c r="B235" s="14" t="str">
        <x:v>Bogura</x:v>
      </x:c>
      <x:c r="C235" s="14" t="str">
        <x:v>Bogura Science and Technology University</x:v>
      </x:c>
      <x:c r="D235" s="14" t="str">
        <x:v>University</x:v>
      </x:c>
      <x:c r="E235" s="14" t="str">
        <x:v>Public</x:v>
      </x:c>
      <x:c r="F235" s="14" t="str">
        <x:v>Science &amp; Technology</x:v>
      </x:c>
      <x:c r="G235" s="14" t="str"/>
      <x:c r="H235" s="14" t="str"/>
      <x:c r="I235" s="14" t="str">
        <x:v>https://www.ugc-universities.gov.bd/</x:v>
      </x:c>
    </x:row>
    <x:row r="236">
      <x:c r="A236" s="14" t="str">
        <x:v>Rajshahi</x:v>
      </x:c>
      <x:c r="B236" s="14" t="str">
        <x:v>Bogura</x:v>
      </x:c>
      <x:c r="C236" s="14" t="str">
        <x:v>Pundra University of Science and Technology</x:v>
      </x:c>
      <x:c r="D236" s="14" t="str">
        <x:v>University</x:v>
      </x:c>
      <x:c r="E236" s="14" t="str">
        <x:v>Private</x:v>
      </x:c>
      <x:c r="F236" s="14" t="str">
        <x:v>Science &amp; Technology</x:v>
      </x:c>
      <x:c r="G236" s="14" t="str"/>
      <x:c r="H236" s="14" t="str"/>
      <x:c r="I236" s="14" t="str">
        <x:v>https://www.ugc-universities.gov.bd/private-universities</x:v>
      </x:c>
    </x:row>
    <x:row r="237">
      <x:c r="A237" s="14" t="str">
        <x:v>Rajshahi</x:v>
      </x:c>
      <x:c r="B237" s="14" t="str">
        <x:v>Bogura</x:v>
      </x:c>
      <x:c r="C237" s="14" t="str">
        <x:v>Shaheed Ziaur Rahman Medical College</x:v>
      </x:c>
      <x:c r="D237" s="14" t="str">
        <x:v>Medical College</x:v>
      </x:c>
      <x:c r="E237" s="14" t="str">
        <x:v>Public</x:v>
      </x:c>
      <x:c r="F237" s="14" t="str">
        <x:v>MBBS</x:v>
      </x:c>
      <x:c r="G237" s="14" t="str"/>
      <x:c r="H237" s="14" t="str"/>
      <x:c r="I237" s="14" t="str">
        <x:v>https://en.wikipedia.org/wiki/List_of_medical_colleges_in_Bangladesh</x:v>
      </x:c>
    </x:row>
    <x:row r="238">
      <x:c r="A238" s="14" t="str">
        <x:v>Rajshahi</x:v>
      </x:c>
      <x:c r="B238" s="14" t="str">
        <x:v>Bogura</x:v>
      </x:c>
      <x:c r="C238" s="14" t="str">
        <x:v>TMSS Medical College</x:v>
      </x:c>
      <x:c r="D238" s="14" t="str">
        <x:v>Medical College</x:v>
      </x:c>
      <x:c r="E238" s="14" t="str">
        <x:v>Private</x:v>
      </x:c>
      <x:c r="F238" s="14" t="str">
        <x:v>MBBS</x:v>
      </x:c>
      <x:c r="G238" s="14" t="str"/>
      <x:c r="H238" s="14" t="str"/>
      <x:c r="I238" s="14" t="str">
        <x:v>https://dgme.portal.gov.bd/pages/static-pages/6922dd3c933eb65569e140f7</x:v>
      </x:c>
    </x:row>
    <x:row r="239">
      <x:c r="A239" s="14" t="str">
        <x:v>Rajshahi</x:v>
      </x:c>
      <x:c r="B239" s="14" t="str">
        <x:v>Bogura</x:v>
      </x:c>
      <x:c r="C239" s="14" t="str">
        <x:v>Army Medical College, Bogura</x:v>
      </x:c>
      <x:c r="D239" s="14" t="str">
        <x:v>Medical College</x:v>
      </x:c>
      <x:c r="E239" s="14" t="str">
        <x:v>Military</x:v>
      </x:c>
      <x:c r="F239" s="14" t="str">
        <x:v>MBBS / Armed Forces</x:v>
      </x:c>
      <x:c r="G239" s="14" t="str"/>
      <x:c r="H239" s="14" t="str"/>
      <x:c r="I239" s="14" t="str">
        <x:v>https://en.wikipedia.org/wiki/List_of_medical_colleges_in_Bangladesh</x:v>
      </x:c>
    </x:row>
    <x:row r="240">
      <x:c r="A240" s="14" t="str">
        <x:v>Rajshahi</x:v>
      </x:c>
      <x:c r="B240" s="14" t="str">
        <x:v>Chapainawabganj</x:v>
      </x:c>
      <x:c r="C240" s="14" t="str">
        <x:v>Exim Bank Agricultural University Bangladesh</x:v>
      </x:c>
      <x:c r="D240" s="14" t="str">
        <x:v>University</x:v>
      </x:c>
      <x:c r="E240" s="14" t="str">
        <x:v>Private</x:v>
      </x:c>
      <x:c r="F240" s="14" t="str">
        <x:v>Agricultural</x:v>
      </x:c>
      <x:c r="G240" s="14" t="str"/>
      <x:c r="H240" s="14" t="str"/>
      <x:c r="I240" s="14" t="str">
        <x:v>https://www.ugc-universities.gov.bd/private-universities</x:v>
      </x:c>
    </x:row>
    <x:row r="241">
      <x:c r="A241" s="14" t="str">
        <x:v>Rajshahi</x:v>
      </x:c>
      <x:c r="B241" s="14" t="str">
        <x:v>Naogaon</x:v>
      </x:c>
      <x:c r="C241" s="14" t="str">
        <x:v>Naogaon Medical College</x:v>
      </x:c>
      <x:c r="D241" s="14" t="str">
        <x:v>Medical College</x:v>
      </x:c>
      <x:c r="E241" s="14" t="str">
        <x:v>Public</x:v>
      </x:c>
      <x:c r="F241" s="14" t="str">
        <x:v>MBBS</x:v>
      </x:c>
      <x:c r="G241" s="14" t="str"/>
      <x:c r="H241" s="14" t="str"/>
      <x:c r="I241" s="14" t="str">
        <x:v>https://en.wikipedia.org/wiki/List_of_medical_colleges_in_Bangladesh</x:v>
      </x:c>
    </x:row>
    <x:row r="242">
      <x:c r="A242" s="14" t="str">
        <x:v>Rajshahi</x:v>
      </x:c>
      <x:c r="B242" s="14" t="str">
        <x:v>Natore</x:v>
      </x:c>
      <x:c r="C242" s="14" t="str">
        <x:v>Bangladesh Army University of Engineering &amp; Technology</x:v>
      </x:c>
      <x:c r="D242" s="14" t="str">
        <x:v>University</x:v>
      </x:c>
      <x:c r="E242" s="14" t="str">
        <x:v>Private</x:v>
      </x:c>
      <x:c r="F242" s="14" t="str">
        <x:v>Engineering / Army-sponsored</x:v>
      </x:c>
      <x:c r="G242" s="14" t="str"/>
      <x:c r="H242" s="14" t="str"/>
      <x:c r="I242" s="14" t="str">
        <x:v>https://www.ugc-universities.gov.bd/private-universities</x:v>
      </x:c>
    </x:row>
    <x:row r="243">
      <x:c r="A243" s="14" t="str">
        <x:v>Rajshahi</x:v>
      </x:c>
      <x:c r="B243" s="14" t="str">
        <x:v>Natore</x:v>
      </x:c>
      <x:c r="C243" s="14" t="str">
        <x:v>Rajshahi Science &amp; Technology University</x:v>
      </x:c>
      <x:c r="D243" s="14" t="str">
        <x:v>University</x:v>
      </x:c>
      <x:c r="E243" s="14" t="str">
        <x:v>Private</x:v>
      </x:c>
      <x:c r="F243" s="14" t="str">
        <x:v>Science &amp; Technology</x:v>
      </x:c>
      <x:c r="G243" s="14" t="str"/>
      <x:c r="H243" s="14" t="str"/>
      <x:c r="I243" s="14" t="str">
        <x:v>https://www.ugc-universities.gov.bd/private-universities</x:v>
      </x:c>
    </x:row>
    <x:row r="244">
      <x:c r="A244" s="14" t="str">
        <x:v>Rajshahi</x:v>
      </x:c>
      <x:c r="B244" s="14" t="str">
        <x:v>Pabna</x:v>
      </x:c>
      <x:c r="C244" s="14" t="str">
        <x:v>Pabna University of Science and Technology</x:v>
      </x:c>
      <x:c r="D244" s="14" t="str">
        <x:v>University</x:v>
      </x:c>
      <x:c r="E244" s="14" t="str">
        <x:v>Public</x:v>
      </x:c>
      <x:c r="F244" s="14" t="str">
        <x:v>Science &amp; Technology</x:v>
      </x:c>
      <x:c r="G244" s="14" t="str"/>
      <x:c r="H244" s="14" t="str"/>
      <x:c r="I244" s="14" t="str">
        <x:v>https://www.ugc-universities.gov.bd/</x:v>
      </x:c>
    </x:row>
    <x:row r="245">
      <x:c r="A245" s="14" t="str">
        <x:v>Rajshahi</x:v>
      </x:c>
      <x:c r="B245" s="14" t="str">
        <x:v>Pabna</x:v>
      </x:c>
      <x:c r="C245" s="14" t="str">
        <x:v>Pabna Medical College</x:v>
      </x:c>
      <x:c r="D245" s="14" t="str">
        <x:v>Medical College</x:v>
      </x:c>
      <x:c r="E245" s="14" t="str">
        <x:v>Public</x:v>
      </x:c>
      <x:c r="F245" s="14" t="str">
        <x:v>MBBS</x:v>
      </x:c>
      <x:c r="G245" s="14" t="str"/>
      <x:c r="H245" s="14" t="str"/>
      <x:c r="I245" s="14" t="str">
        <x:v>https://en.wikipedia.org/wiki/List_of_medical_colleges_in_Bangladesh</x:v>
      </x:c>
    </x:row>
    <x:row r="246">
      <x:c r="A246" s="14" t="str">
        <x:v>Rajshahi</x:v>
      </x:c>
      <x:c r="B246" s="14" t="str">
        <x:v>Rajshahi</x:v>
      </x:c>
      <x:c r="C246" s="14" t="str">
        <x:v>Rajshahi Medical University</x:v>
      </x:c>
      <x:c r="D246" s="14" t="str">
        <x:v>University</x:v>
      </x:c>
      <x:c r="E246" s="14" t="str">
        <x:v>Public</x:v>
      </x:c>
      <x:c r="F246" s="14" t="str">
        <x:v>Medical University</x:v>
      </x:c>
      <x:c r="G246" s="14" t="str"/>
      <x:c r="H246" s="14" t="str"/>
      <x:c r="I246" s="14" t="str">
        <x:v>https://en.wikipedia.org/wiki/List_of_medical_colleges_in_Bangladesh</x:v>
      </x:c>
    </x:row>
    <x:row r="247">
      <x:c r="A247" s="14" t="str">
        <x:v>Rajshahi</x:v>
      </x:c>
      <x:c r="B247" s="14" t="str">
        <x:v>Rajshahi</x:v>
      </x:c>
      <x:c r="C247" s="14" t="str">
        <x:v>Rajshahi University of Engineering &amp; Technology</x:v>
      </x:c>
      <x:c r="D247" s="14" t="str">
        <x:v>University</x:v>
      </x:c>
      <x:c r="E247" s="14" t="str">
        <x:v>Public</x:v>
      </x:c>
      <x:c r="F247" s="14" t="str">
        <x:v>Engineering</x:v>
      </x:c>
      <x:c r="G247" s="14" t="str"/>
      <x:c r="H247" s="14" t="str"/>
      <x:c r="I247" s="14" t="str">
        <x:v>https://www.ugc-universities.gov.bd/</x:v>
      </x:c>
    </x:row>
    <x:row r="248">
      <x:c r="A248" s="14" t="str">
        <x:v>Rajshahi</x:v>
      </x:c>
      <x:c r="B248" s="14" t="str">
        <x:v>Rajshahi</x:v>
      </x:c>
      <x:c r="C248" s="14" t="str">
        <x:v>University of Rajshahi</x:v>
      </x:c>
      <x:c r="D248" s="14" t="str">
        <x:v>University</x:v>
      </x:c>
      <x:c r="E248" s="14" t="str">
        <x:v>Public</x:v>
      </x:c>
      <x:c r="F248" s="14" t="str">
        <x:v>General</x:v>
      </x:c>
      <x:c r="G248" s="14" t="str"/>
      <x:c r="H248" s="14" t="str"/>
      <x:c r="I248" s="14" t="str">
        <x:v>https://www.ugc-universities.gov.bd/</x:v>
      </x:c>
    </x:row>
    <x:row r="249">
      <x:c r="A249" s="14" t="str">
        <x:v>Rajshahi</x:v>
      </x:c>
      <x:c r="B249" s="14" t="str">
        <x:v>Rajshahi</x:v>
      </x:c>
      <x:c r="C249" s="14" t="str">
        <x:v>Ahsania Mission University of Science and Technology</x:v>
      </x:c>
      <x:c r="D249" s="14" t="str">
        <x:v>University</x:v>
      </x:c>
      <x:c r="E249" s="14" t="str">
        <x:v>Private</x:v>
      </x:c>
      <x:c r="F249" s="14" t="str">
        <x:v>Science &amp; Technology</x:v>
      </x:c>
      <x:c r="G249" s="14" t="str"/>
      <x:c r="H249" s="14" t="str"/>
      <x:c r="I249" s="14" t="str">
        <x:v>https://www.ugc-universities.gov.bd/private-universities</x:v>
      </x:c>
    </x:row>
    <x:row r="250">
      <x:c r="A250" s="14" t="str">
        <x:v>Rajshahi</x:v>
      </x:c>
      <x:c r="B250" s="14" t="str">
        <x:v>Rajshahi</x:v>
      </x:c>
      <x:c r="C250" s="14" t="str">
        <x:v>North Bengal International University</x:v>
      </x:c>
      <x:c r="D250" s="14" t="str">
        <x:v>University</x:v>
      </x:c>
      <x:c r="E250" s="14" t="str">
        <x:v>Private</x:v>
      </x:c>
      <x:c r="F250" s="14" t="str">
        <x:v>General</x:v>
      </x:c>
      <x:c r="G250" s="14" t="str"/>
      <x:c r="H250" s="14" t="str"/>
      <x:c r="I250" s="14" t="str">
        <x:v>https://www.ugc-universities.gov.bd/private-universities</x:v>
      </x:c>
    </x:row>
    <x:row r="251">
      <x:c r="A251" s="14" t="str">
        <x:v>Rajshahi</x:v>
      </x:c>
      <x:c r="B251" s="14" t="str">
        <x:v>Rajshahi</x:v>
      </x:c>
      <x:c r="C251" s="14" t="str">
        <x:v>Shah Makhdum Management University, Rajshahi</x:v>
      </x:c>
      <x:c r="D251" s="14" t="str">
        <x:v>University</x:v>
      </x:c>
      <x:c r="E251" s="14" t="str">
        <x:v>Private</x:v>
      </x:c>
      <x:c r="F251" s="14" t="str">
        <x:v>Management</x:v>
      </x:c>
      <x:c r="G251" s="14" t="str"/>
      <x:c r="H251" s="14" t="str">
        <x:v>UGC/press reports noted delayed academic activity; verify before admission</x:v>
      </x:c>
      <x:c r="I251" s="14" t="str">
        <x:v>https://www.ugc-universities.gov.bd/private-universities</x:v>
      </x:c>
    </x:row>
    <x:row r="252">
      <x:c r="A252" s="14" t="str">
        <x:v>Rajshahi</x:v>
      </x:c>
      <x:c r="B252" s="14" t="str">
        <x:v>Rajshahi</x:v>
      </x:c>
      <x:c r="C252" s="14" t="str">
        <x:v>Varendra University</x:v>
      </x:c>
      <x:c r="D252" s="14" t="str">
        <x:v>University</x:v>
      </x:c>
      <x:c r="E252" s="14" t="str">
        <x:v>Private</x:v>
      </x:c>
      <x:c r="F252" s="14" t="str">
        <x:v>General</x:v>
      </x:c>
      <x:c r="G252" s="14" t="str"/>
      <x:c r="H252" s="14" t="str"/>
      <x:c r="I252" s="14" t="str">
        <x:v>https://www.ugc-universities.gov.bd/private-universities</x:v>
      </x:c>
    </x:row>
    <x:row r="253">
      <x:c r="A253" s="14" t="str">
        <x:v>Rajshahi</x:v>
      </x:c>
      <x:c r="B253" s="14" t="str">
        <x:v>Rajshahi</x:v>
      </x:c>
      <x:c r="C253" s="14" t="str">
        <x:v>Rajshahi Medical College</x:v>
      </x:c>
      <x:c r="D253" s="14" t="str">
        <x:v>Medical College</x:v>
      </x:c>
      <x:c r="E253" s="14" t="str">
        <x:v>Public</x:v>
      </x:c>
      <x:c r="F253" s="14" t="str">
        <x:v>MBBS</x:v>
      </x:c>
      <x:c r="G253" s="14" t="str"/>
      <x:c r="H253" s="14" t="str"/>
      <x:c r="I253" s="14" t="str">
        <x:v>https://en.wikipedia.org/wiki/List_of_medical_colleges_in_Bangladesh</x:v>
      </x:c>
    </x:row>
    <x:row r="254">
      <x:c r="A254" s="14" t="str">
        <x:v>Rajshahi</x:v>
      </x:c>
      <x:c r="B254" s="14" t="str">
        <x:v>Rajshahi</x:v>
      </x:c>
      <x:c r="C254" s="14" t="str">
        <x:v>Barind Medical College</x:v>
      </x:c>
      <x:c r="D254" s="14" t="str">
        <x:v>Medical College</x:v>
      </x:c>
      <x:c r="E254" s="14" t="str">
        <x:v>Private</x:v>
      </x:c>
      <x:c r="F254" s="14" t="str">
        <x:v>MBBS</x:v>
      </x:c>
      <x:c r="G254" s="14" t="str"/>
      <x:c r="H254" s="14" t="str"/>
      <x:c r="I254" s="14" t="str">
        <x:v>https://dgme.portal.gov.bd/pages/static-pages/6922dd3c933eb65569e140f7</x:v>
      </x:c>
    </x:row>
    <x:row r="255">
      <x:c r="A255" s="14" t="str">
        <x:v>Rajshahi</x:v>
      </x:c>
      <x:c r="B255" s="14" t="str">
        <x:v>Rajshahi</x:v>
      </x:c>
      <x:c r="C255" s="14" t="str">
        <x:v>Islami Bank Medical College</x:v>
      </x:c>
      <x:c r="D255" s="14" t="str">
        <x:v>Medical College</x:v>
      </x:c>
      <x:c r="E255" s="14" t="str">
        <x:v>Private</x:v>
      </x:c>
      <x:c r="F255" s="14" t="str">
        <x:v>MBBS</x:v>
      </x:c>
      <x:c r="G255" s="14" t="str"/>
      <x:c r="H255" s="14" t="str"/>
      <x:c r="I255" s="14" t="str">
        <x:v>https://dgme.portal.gov.bd/pages/static-pages/6922dd3c933eb65569e140f7</x:v>
      </x:c>
    </x:row>
    <x:row r="256">
      <x:c r="A256" s="14" t="str">
        <x:v>Rajshahi</x:v>
      </x:c>
      <x:c r="B256" s="14" t="str">
        <x:v>Sirajganj</x:v>
      </x:c>
      <x:c r="C256" s="14" t="str">
        <x:v>Rabindra University, Bangladesh</x:v>
      </x:c>
      <x:c r="D256" s="14" t="str">
        <x:v>University</x:v>
      </x:c>
      <x:c r="E256" s="14" t="str">
        <x:v>Public</x:v>
      </x:c>
      <x:c r="F256" s="14" t="str">
        <x:v>General</x:v>
      </x:c>
      <x:c r="G256" s="14" t="str"/>
      <x:c r="H256" s="14" t="str"/>
      <x:c r="I256" s="14" t="str">
        <x:v>https://www.ugc-universities.gov.bd/</x:v>
      </x:c>
    </x:row>
    <x:row r="257">
      <x:c r="A257" s="14" t="str">
        <x:v>Rajshahi</x:v>
      </x:c>
      <x:c r="B257" s="14" t="str">
        <x:v>Sirajganj</x:v>
      </x:c>
      <x:c r="C257" s="14" t="str">
        <x:v>Khwaja Yunus Ali University</x:v>
      </x:c>
      <x:c r="D257" s="14" t="str">
        <x:v>University</x:v>
      </x:c>
      <x:c r="E257" s="14" t="str">
        <x:v>Private</x:v>
      </x:c>
      <x:c r="F257" s="14" t="str">
        <x:v>General</x:v>
      </x:c>
      <x:c r="G257" s="14" t="str"/>
      <x:c r="H257" s="14" t="str"/>
      <x:c r="I257" s="14" t="str">
        <x:v>https://www.ugc-universities.gov.bd/private-universities</x:v>
      </x:c>
    </x:row>
    <x:row r="258">
      <x:c r="A258" s="14" t="str">
        <x:v>Rajshahi</x:v>
      </x:c>
      <x:c r="B258" s="14" t="str">
        <x:v>Sirajganj</x:v>
      </x:c>
      <x:c r="C258" s="14" t="str">
        <x:v>Sirajganj Medical College</x:v>
      </x:c>
      <x:c r="D258" s="14" t="str">
        <x:v>Medical College</x:v>
      </x:c>
      <x:c r="E258" s="14" t="str">
        <x:v>Public</x:v>
      </x:c>
      <x:c r="F258" s="14" t="str">
        <x:v>MBBS</x:v>
      </x:c>
      <x:c r="G258" s="14" t="str"/>
      <x:c r="H258" s="14" t="str"/>
      <x:c r="I258" s="14" t="str">
        <x:v>https://en.wikipedia.org/wiki/List_of_medical_colleges_in_Bangladesh</x:v>
      </x:c>
    </x:row>
    <x:row r="259">
      <x:c r="A259" s="14" t="str">
        <x:v>Rajshahi</x:v>
      </x:c>
      <x:c r="B259" s="14" t="str">
        <x:v>Sirajganj</x:v>
      </x:c>
      <x:c r="C259" s="14" t="str">
        <x:v>Khwaja Yunus Ali Medical College</x:v>
      </x:c>
      <x:c r="D259" s="14" t="str">
        <x:v>Medical College</x:v>
      </x:c>
      <x:c r="E259" s="14" t="str">
        <x:v>Private</x:v>
      </x:c>
      <x:c r="F259" s="14" t="str">
        <x:v>MBBS</x:v>
      </x:c>
      <x:c r="G259" s="14" t="str"/>
      <x:c r="H259" s="14" t="str"/>
      <x:c r="I259" s="14" t="str">
        <x:v>https://dgme.portal.gov.bd/pages/static-pages/6922dd3c933eb65569e140f7</x:v>
      </x:c>
    </x:row>
    <x:row r="260">
      <x:c r="A260" s="14" t="str">
        <x:v>Rajshahi</x:v>
      </x:c>
      <x:c r="B260" s="14" t="str">
        <x:v>Sirajganj</x:v>
      </x:c>
      <x:c r="C260" s="14" t="str">
        <x:v>North Bengal Medical College</x:v>
      </x:c>
      <x:c r="D260" s="14" t="str">
        <x:v>Medical College</x:v>
      </x:c>
      <x:c r="E260" s="14" t="str">
        <x:v>Private</x:v>
      </x:c>
      <x:c r="F260" s="14" t="str">
        <x:v>MBBS</x:v>
      </x:c>
      <x:c r="G260" s="14" t="str"/>
      <x:c r="H260" s="14" t="str"/>
      <x:c r="I260" s="14" t="str">
        <x:v>https://dgme.portal.gov.bd/pages/static-pages/6922dd3c933eb65569e140f7</x:v>
      </x:c>
    </x:row>
    <x:row r="261">
      <x:c r="A261" s="14" t="str">
        <x:v>Rangpur</x:v>
      </x:c>
      <x:c r="B261" s="14" t="str">
        <x:v>Dinajpur</x:v>
      </x:c>
      <x:c r="C261" s="14" t="str">
        <x:v>Hajee Mohammad Danesh Science and Technology University</x:v>
      </x:c>
      <x:c r="D261" s="14" t="str">
        <x:v>University</x:v>
      </x:c>
      <x:c r="E261" s="14" t="str">
        <x:v>Public</x:v>
      </x:c>
      <x:c r="F261" s="14" t="str">
        <x:v>Science &amp; Technology</x:v>
      </x:c>
      <x:c r="G261" s="14" t="str"/>
      <x:c r="H261" s="14" t="str"/>
      <x:c r="I261" s="14" t="str">
        <x:v>https://www.ugc-universities.gov.bd/</x:v>
      </x:c>
    </x:row>
    <x:row r="262">
      <x:c r="A262" s="14" t="str">
        <x:v>Rangpur</x:v>
      </x:c>
      <x:c r="B262" s="14" t="str">
        <x:v>Dinajpur</x:v>
      </x:c>
      <x:c r="C262" s="14" t="str">
        <x:v>M Abdur Rahim Medical College, Dinajpur</x:v>
      </x:c>
      <x:c r="D262" s="14" t="str">
        <x:v>Medical College</x:v>
      </x:c>
      <x:c r="E262" s="14" t="str">
        <x:v>Public</x:v>
      </x:c>
      <x:c r="F262" s="14" t="str">
        <x:v>MBBS</x:v>
      </x:c>
      <x:c r="G262" s="14" t="str"/>
      <x:c r="H262" s="14" t="str"/>
      <x:c r="I262" s="14" t="str">
        <x:v>https://en.wikipedia.org/wiki/List_of_medical_colleges_in_Bangladesh</x:v>
      </x:c>
    </x:row>
    <x:row r="263">
      <x:c r="A263" s="14" t="str">
        <x:v>Rangpur</x:v>
      </x:c>
      <x:c r="B263" s="14" t="str">
        <x:v>Kurigram</x:v>
      </x:c>
      <x:c r="C263" s="14" t="str">
        <x:v>Kurigram Agricultural University</x:v>
      </x:c>
      <x:c r="D263" s="14" t="str">
        <x:v>University</x:v>
      </x:c>
      <x:c r="E263" s="14" t="str">
        <x:v>Public</x:v>
      </x:c>
      <x:c r="F263" s="14" t="str">
        <x:v>Agricultural</x:v>
      </x:c>
      <x:c r="G263" s="14" t="str"/>
      <x:c r="H263" s="14" t="str"/>
      <x:c r="I263" s="14" t="str">
        <x:v>https://www.ugc-universities.gov.bd/</x:v>
      </x:c>
    </x:row>
    <x:row r="264">
      <x:c r="A264" s="14" t="str">
        <x:v>Rangpur</x:v>
      </x:c>
      <x:c r="B264" s="14" t="str">
        <x:v>Lalmonirhat</x:v>
      </x:c>
      <x:c r="C264" s="14" t="str">
        <x:v>Bangladesh Aviation and Aerospace University</x:v>
      </x:c>
      <x:c r="D264" s="14" t="str">
        <x:v>University</x:v>
      </x:c>
      <x:c r="E264" s="14" t="str">
        <x:v>Public</x:v>
      </x:c>
      <x:c r="F264" s="14" t="str">
        <x:v>Aviation / Aerospace</x:v>
      </x:c>
      <x:c r="G264" s="14" t="str"/>
      <x:c r="H264" s="14" t="str"/>
      <x:c r="I264" s="14" t="str">
        <x:v>https://www.ugc-universities.gov.bd/</x:v>
      </x:c>
    </x:row>
    <x:row r="265">
      <x:c r="A265" s="14" t="str">
        <x:v>Rangpur</x:v>
      </x:c>
      <x:c r="B265" s="14" t="str">
        <x:v>Nilphamari</x:v>
      </x:c>
      <x:c r="C265" s="14" t="str">
        <x:v>Bangladesh Army University of Science and Technology, Saidpur</x:v>
      </x:c>
      <x:c r="D265" s="14" t="str">
        <x:v>University</x:v>
      </x:c>
      <x:c r="E265" s="14" t="str">
        <x:v>Private</x:v>
      </x:c>
      <x:c r="F265" s="14" t="str">
        <x:v>Science &amp; Technology / Army-sponsored</x:v>
      </x:c>
      <x:c r="G265" s="14" t="str"/>
      <x:c r="H265" s="14" t="str"/>
      <x:c r="I265" s="14" t="str">
        <x:v>https://www.ugc-universities.gov.bd/private-universities</x:v>
      </x:c>
    </x:row>
    <x:row r="266">
      <x:c r="A266" s="14" t="str">
        <x:v>Rangpur</x:v>
      </x:c>
      <x:c r="B266" s="14" t="str">
        <x:v>Nilphamari</x:v>
      </x:c>
      <x:c r="C266" s="14" t="str">
        <x:v>Nilphamari Medical College</x:v>
      </x:c>
      <x:c r="D266" s="14" t="str">
        <x:v>Medical College</x:v>
      </x:c>
      <x:c r="E266" s="14" t="str">
        <x:v>Public</x:v>
      </x:c>
      <x:c r="F266" s="14" t="str">
        <x:v>MBBS</x:v>
      </x:c>
      <x:c r="G266" s="14" t="str"/>
      <x:c r="H266" s="14" t="str"/>
      <x:c r="I266" s="14" t="str">
        <x:v>https://en.wikipedia.org/wiki/List_of_medical_colleges_in_Bangladesh</x:v>
      </x:c>
    </x:row>
    <x:row r="267">
      <x:c r="A267" s="14" t="str">
        <x:v>Rangpur</x:v>
      </x:c>
      <x:c r="B267" s="14" t="str">
        <x:v>Rangpur</x:v>
      </x:c>
      <x:c r="C267" s="14" t="str">
        <x:v>Begum Rokeya University, Rangpur</x:v>
      </x:c>
      <x:c r="D267" s="14" t="str">
        <x:v>University</x:v>
      </x:c>
      <x:c r="E267" s="14" t="str">
        <x:v>Public</x:v>
      </x:c>
      <x:c r="F267" s="14" t="str">
        <x:v>General</x:v>
      </x:c>
      <x:c r="G267" s="14" t="str"/>
      <x:c r="H267" s="14" t="str"/>
      <x:c r="I267" s="14" t="str">
        <x:v>https://www.ugc-universities.gov.bd/</x:v>
      </x:c>
    </x:row>
    <x:row r="268">
      <x:c r="A268" s="14" t="str">
        <x:v>Rangpur</x:v>
      </x:c>
      <x:c r="B268" s="14" t="str">
        <x:v>Rangpur</x:v>
      </x:c>
      <x:c r="C268" s="14" t="str">
        <x:v>Teesta University, Rangpur</x:v>
      </x:c>
      <x:c r="D268" s="14" t="str">
        <x:v>University</x:v>
      </x:c>
      <x:c r="E268" s="14" t="str">
        <x:v>Private</x:v>
      </x:c>
      <x:c r="F268" s="14" t="str">
        <x:v>General</x:v>
      </x:c>
      <x:c r="G268" s="14" t="str"/>
      <x:c r="H268" s="14" t="str"/>
      <x:c r="I268" s="14" t="str">
        <x:v>https://www.ugc-universities.gov.bd/private-universities</x:v>
      </x:c>
    </x:row>
    <x:row r="269">
      <x:c r="A269" s="14" t="str">
        <x:v>Rangpur</x:v>
      </x:c>
      <x:c r="B269" s="14" t="str">
        <x:v>Rangpur</x:v>
      </x:c>
      <x:c r="C269" s="14" t="str">
        <x:v>Rangpur Medical College</x:v>
      </x:c>
      <x:c r="D269" s="14" t="str">
        <x:v>Medical College</x:v>
      </x:c>
      <x:c r="E269" s="14" t="str">
        <x:v>Public</x:v>
      </x:c>
      <x:c r="F269" s="14" t="str">
        <x:v>MBBS</x:v>
      </x:c>
      <x:c r="G269" s="14" t="str"/>
      <x:c r="H269" s="14" t="str"/>
      <x:c r="I269" s="14" t="str">
        <x:v>https://en.wikipedia.org/wiki/List_of_medical_colleges_in_Bangladesh</x:v>
      </x:c>
    </x:row>
    <x:row r="270">
      <x:c r="A270" s="14" t="str">
        <x:v>Rangpur</x:v>
      </x:c>
      <x:c r="B270" s="14" t="str">
        <x:v>Rangpur</x:v>
      </x:c>
      <x:c r="C270" s="14" t="str">
        <x:v>Prime Medical College</x:v>
      </x:c>
      <x:c r="D270" s="14" t="str">
        <x:v>Medical College</x:v>
      </x:c>
      <x:c r="E270" s="14" t="str">
        <x:v>Private</x:v>
      </x:c>
      <x:c r="F270" s="14" t="str">
        <x:v>MBBS</x:v>
      </x:c>
      <x:c r="G270" s="14" t="str"/>
      <x:c r="H270" s="14" t="str"/>
      <x:c r="I270" s="14" t="str">
        <x:v>https://dgme.portal.gov.bd/pages/static-pages/6922dd3c933eb65569e140f7</x:v>
      </x:c>
    </x:row>
    <x:row r="271">
      <x:c r="A271" s="14" t="str">
        <x:v>Rangpur</x:v>
      </x:c>
      <x:c r="B271" s="14" t="str">
        <x:v>Rangpur</x:v>
      </x:c>
      <x:c r="C271" s="14" t="str">
        <x:v>Rangpur Community Medical College</x:v>
      </x:c>
      <x:c r="D271" s="14" t="str">
        <x:v>Medical College</x:v>
      </x:c>
      <x:c r="E271" s="14" t="str">
        <x:v>Private</x:v>
      </x:c>
      <x:c r="F271" s="14" t="str">
        <x:v>MBBS</x:v>
      </x:c>
      <x:c r="G271" s="14" t="str"/>
      <x:c r="H271" s="14" t="str"/>
      <x:c r="I271" s="14" t="str">
        <x:v>https://dgme.portal.gov.bd/pages/static-pages/6922dd3c933eb65569e140f7</x:v>
      </x:c>
    </x:row>
    <x:row r="272">
      <x:c r="A272" s="14" t="str">
        <x:v>Rangpur</x:v>
      </x:c>
      <x:c r="B272" s="14" t="str">
        <x:v>Rangpur</x:v>
      </x:c>
      <x:c r="C272" s="14" t="str">
        <x:v>Army Medical College, Rangpur</x:v>
      </x:c>
      <x:c r="D272" s="14" t="str">
        <x:v>Medical College</x:v>
      </x:c>
      <x:c r="E272" s="14" t="str">
        <x:v>Military</x:v>
      </x:c>
      <x:c r="F272" s="14" t="str">
        <x:v>MBBS / Armed Forces</x:v>
      </x:c>
      <x:c r="G272" s="14" t="str"/>
      <x:c r="H272" s="14" t="str"/>
      <x:c r="I272" s="14" t="str">
        <x:v>https://en.wikipedia.org/wiki/List_of_medical_colleges_in_Bangladesh</x:v>
      </x:c>
    </x:row>
    <x:row r="273">
      <x:c r="A273" s="14" t="str">
        <x:v>Rangpur</x:v>
      </x:c>
      <x:c r="B273" s="14" t="str">
        <x:v>Thakurgaon</x:v>
      </x:c>
      <x:c r="C273" s="14" t="str">
        <x:v>Thakurgaon University</x:v>
      </x:c>
      <x:c r="D273" s="14" t="str">
        <x:v>University</x:v>
      </x:c>
      <x:c r="E273" s="14" t="str">
        <x:v>Public</x:v>
      </x:c>
      <x:c r="F273" s="14" t="str">
        <x:v>General</x:v>
      </x:c>
      <x:c r="G273" s="14" t="str"/>
      <x:c r="H273" s="14" t="str"/>
      <x:c r="I273" s="14" t="str">
        <x:v>https://www.ugc-universities.gov.bd/</x:v>
      </x:c>
    </x:row>
    <x:row r="274">
      <x:c r="A274" s="14" t="str">
        <x:v>Rangpur</x:v>
      </x:c>
      <x:c r="B274" s="14" t="str">
        <x:v>Thakurgaon</x:v>
      </x:c>
      <x:c r="C274" s="14" t="str">
        <x:v>Thakurgaon Medical College</x:v>
      </x:c>
      <x:c r="D274" s="14" t="str">
        <x:v>Medical College</x:v>
      </x:c>
      <x:c r="E274" s="14" t="str">
        <x:v>Proposed</x:v>
      </x:c>
      <x:c r="F274" s="14" t="str">
        <x:v>MBBS</x:v>
      </x:c>
      <x:c r="G274" s="14" t="str"/>
      <x:c r="H274" s="14" t="str">
        <x:v>Proposed; list shows start target 2027.</x:v>
      </x:c>
      <x:c r="I274" s="14" t="str">
        <x:v>https://en.wikipedia.org/wiki/List_of_medical_colleges_in_Bangladesh</x:v>
      </x:c>
    </x:row>
    <x:row r="275">
      <x:c r="A275" s="14" t="str">
        <x:v>Sylhet</x:v>
      </x:c>
      <x:c r="B275" s="14" t="str">
        <x:v>Habiganj</x:v>
      </x:c>
      <x:c r="C275" s="14" t="str">
        <x:v>Habiganj Agricultural University</x:v>
      </x:c>
      <x:c r="D275" s="14" t="str">
        <x:v>University</x:v>
      </x:c>
      <x:c r="E275" s="14" t="str">
        <x:v>Public</x:v>
      </x:c>
      <x:c r="F275" s="14" t="str">
        <x:v>Agricultural</x:v>
      </x:c>
      <x:c r="G275" s="14" t="str"/>
      <x:c r="H275" s="14" t="str"/>
      <x:c r="I275" s="14" t="str">
        <x:v>https://www.ugc-universities.gov.bd/</x:v>
      </x:c>
    </x:row>
    <x:row r="276">
      <x:c r="A276" s="14" t="str">
        <x:v>Sylhet</x:v>
      </x:c>
      <x:c r="B276" s="14" t="str">
        <x:v>Habiganj</x:v>
      </x:c>
      <x:c r="C276" s="14" t="str">
        <x:v>Habiganj Medical College</x:v>
      </x:c>
      <x:c r="D276" s="14" t="str">
        <x:v>Medical College</x:v>
      </x:c>
      <x:c r="E276" s="14" t="str">
        <x:v>Public</x:v>
      </x:c>
      <x:c r="F276" s="14" t="str">
        <x:v>MBBS</x:v>
      </x:c>
      <x:c r="G276" s="14" t="str"/>
      <x:c r="H276" s="14" t="str"/>
      <x:c r="I276" s="14" t="str">
        <x:v>https://en.wikipedia.org/wiki/List_of_medical_colleges_in_Bangladesh</x:v>
      </x:c>
    </x:row>
    <x:row r="277">
      <x:c r="A277" s="14" t="str">
        <x:v>Sylhet</x:v>
      </x:c>
      <x:c r="B277" s="14" t="str">
        <x:v>Sunamganj</x:v>
      </x:c>
      <x:c r="C277" s="14" t="str">
        <x:v>Sunamganj Science and Technology University</x:v>
      </x:c>
      <x:c r="D277" s="14" t="str">
        <x:v>University</x:v>
      </x:c>
      <x:c r="E277" s="14" t="str">
        <x:v>Public</x:v>
      </x:c>
      <x:c r="F277" s="14" t="str">
        <x:v>Science &amp; Technology</x:v>
      </x:c>
      <x:c r="G277" s="14" t="str"/>
      <x:c r="H277" s="14" t="str"/>
      <x:c r="I277" s="14" t="str">
        <x:v>https://www.ugc-universities.gov.bd/</x:v>
      </x:c>
    </x:row>
    <x:row r="278">
      <x:c r="A278" s="14" t="str">
        <x:v>Sylhet</x:v>
      </x:c>
      <x:c r="B278" s="14" t="str">
        <x:v>Sunamganj</x:v>
      </x:c>
      <x:c r="C278" s="14" t="str">
        <x:v>Sunamganj Medical College</x:v>
      </x:c>
      <x:c r="D278" s="14" t="str">
        <x:v>Medical College</x:v>
      </x:c>
      <x:c r="E278" s="14" t="str">
        <x:v>Public</x:v>
      </x:c>
      <x:c r="F278" s="14" t="str">
        <x:v>MBBS</x:v>
      </x:c>
      <x:c r="G278" s="14" t="str"/>
      <x:c r="H278" s="14" t="str"/>
      <x:c r="I278" s="14" t="str">
        <x:v>https://en.wikipedia.org/wiki/List_of_medical_colleges_in_Bangladesh</x:v>
      </x:c>
    </x:row>
    <x:row r="279">
      <x:c r="A279" s="14" t="str">
        <x:v>Sylhet</x:v>
      </x:c>
      <x:c r="B279" s="14" t="str">
        <x:v>Sylhet</x:v>
      </x:c>
      <x:c r="C279" s="14" t="str">
        <x:v>Shahjalal University of Science and Technology</x:v>
      </x:c>
      <x:c r="D279" s="14" t="str">
        <x:v>University</x:v>
      </x:c>
      <x:c r="E279" s="14" t="str">
        <x:v>Public</x:v>
      </x:c>
      <x:c r="F279" s="14" t="str">
        <x:v>Science &amp; Technology</x:v>
      </x:c>
      <x:c r="G279" s="14" t="str"/>
      <x:c r="H279" s="14" t="str"/>
      <x:c r="I279" s="14" t="str">
        <x:v>https://www.ugc-universities.gov.bd/</x:v>
      </x:c>
    </x:row>
    <x:row r="280">
      <x:c r="A280" s="14" t="str">
        <x:v>Sylhet</x:v>
      </x:c>
      <x:c r="B280" s="14" t="str">
        <x:v>Sylhet</x:v>
      </x:c>
      <x:c r="C280" s="14" t="str">
        <x:v>Sylhet Agricultural University</x:v>
      </x:c>
      <x:c r="D280" s="14" t="str">
        <x:v>University</x:v>
      </x:c>
      <x:c r="E280" s="14" t="str">
        <x:v>Public</x:v>
      </x:c>
      <x:c r="F280" s="14" t="str">
        <x:v>Agricultural</x:v>
      </x:c>
      <x:c r="G280" s="14" t="str"/>
      <x:c r="H280" s="14" t="str"/>
      <x:c r="I280" s="14" t="str">
        <x:v>https://www.ugc-universities.gov.bd/</x:v>
      </x:c>
    </x:row>
    <x:row r="281">
      <x:c r="A281" s="14" t="str">
        <x:v>Sylhet</x:v>
      </x:c>
      <x:c r="B281" s="14" t="str">
        <x:v>Sylhet</x:v>
      </x:c>
      <x:c r="C281" s="14" t="str">
        <x:v>Sylhet Medical University</x:v>
      </x:c>
      <x:c r="D281" s="14" t="str">
        <x:v>University</x:v>
      </x:c>
      <x:c r="E281" s="14" t="str">
        <x:v>Public</x:v>
      </x:c>
      <x:c r="F281" s="14" t="str">
        <x:v>Medical University</x:v>
      </x:c>
      <x:c r="G281" s="14" t="str"/>
      <x:c r="H281" s="14" t="str"/>
      <x:c r="I281" s="14" t="str">
        <x:v>https://en.wikipedia.org/wiki/List_of_medical_colleges_in_Bangladesh</x:v>
      </x:c>
    </x:row>
    <x:row r="282">
      <x:c r="A282" s="14" t="str">
        <x:v>Sylhet</x:v>
      </x:c>
      <x:c r="B282" s="14" t="str">
        <x:v>Sylhet</x:v>
      </x:c>
      <x:c r="C282" s="14" t="str">
        <x:v>Leading University</x:v>
      </x:c>
      <x:c r="D282" s="14" t="str">
        <x:v>University</x:v>
      </x:c>
      <x:c r="E282" s="14" t="str">
        <x:v>Private</x:v>
      </x:c>
      <x:c r="F282" s="14" t="str">
        <x:v>General</x:v>
      </x:c>
      <x:c r="G282" s="14" t="str"/>
      <x:c r="H282" s="14" t="str"/>
      <x:c r="I282" s="14" t="str">
        <x:v>https://www.ugc-universities.gov.bd/private-universities</x:v>
      </x:c>
    </x:row>
    <x:row r="283">
      <x:c r="A283" s="14" t="str">
        <x:v>Sylhet</x:v>
      </x:c>
      <x:c r="B283" s="14" t="str">
        <x:v>Sylhet</x:v>
      </x:c>
      <x:c r="C283" s="14" t="str">
        <x:v>Metropolitan University</x:v>
      </x:c>
      <x:c r="D283" s="14" t="str">
        <x:v>University</x:v>
      </x:c>
      <x:c r="E283" s="14" t="str">
        <x:v>Private</x:v>
      </x:c>
      <x:c r="F283" s="14" t="str">
        <x:v>General</x:v>
      </x:c>
      <x:c r="G283" s="14" t="str"/>
      <x:c r="H283" s="14" t="str"/>
      <x:c r="I283" s="14" t="str">
        <x:v>https://www.ugc-universities.gov.bd/private-universities</x:v>
      </x:c>
    </x:row>
    <x:row r="284">
      <x:c r="A284" s="14" t="str">
        <x:v>Sylhet</x:v>
      </x:c>
      <x:c r="B284" s="14" t="str">
        <x:v>Sylhet</x:v>
      </x:c>
      <x:c r="C284" s="14" t="str">
        <x:v>North East University Bangladesh</x:v>
      </x:c>
      <x:c r="D284" s="14" t="str">
        <x:v>University</x:v>
      </x:c>
      <x:c r="E284" s="14" t="str">
        <x:v>Private</x:v>
      </x:c>
      <x:c r="F284" s="14" t="str">
        <x:v>General</x:v>
      </x:c>
      <x:c r="G284" s="14" t="str"/>
      <x:c r="H284" s="14" t="str"/>
      <x:c r="I284" s="14" t="str">
        <x:v>https://www.ugc-universities.gov.bd/private-universities</x:v>
      </x:c>
    </x:row>
    <x:row r="285">
      <x:c r="A285" s="14" t="str">
        <x:v>Sylhet</x:v>
      </x:c>
      <x:c r="B285" s="14" t="str">
        <x:v>Sylhet</x:v>
      </x:c>
      <x:c r="C285" s="14" t="str">
        <x:v>RTM Al-Kabir Technical University</x:v>
      </x:c>
      <x:c r="D285" s="14" t="str">
        <x:v>University</x:v>
      </x:c>
      <x:c r="E285" s="14" t="str">
        <x:v>Private</x:v>
      </x:c>
      <x:c r="F285" s="14" t="str">
        <x:v>Technical</x:v>
      </x:c>
      <x:c r="G285" s="14" t="str"/>
      <x:c r="H285" s="14" t="str"/>
      <x:c r="I285" s="14" t="str">
        <x:v>https://www.ugc-universities.gov.bd/private-universities</x:v>
      </x:c>
    </x:row>
    <x:row r="286">
      <x:c r="A286" s="14" t="str">
        <x:v>Sylhet</x:v>
      </x:c>
      <x:c r="B286" s="14" t="str">
        <x:v>Sylhet</x:v>
      </x:c>
      <x:c r="C286" s="14" t="str">
        <x:v>Sylhet International University</x:v>
      </x:c>
      <x:c r="D286" s="14" t="str">
        <x:v>University</x:v>
      </x:c>
      <x:c r="E286" s="14" t="str">
        <x:v>Private</x:v>
      </x:c>
      <x:c r="F286" s="14" t="str">
        <x:v>General</x:v>
      </x:c>
      <x:c r="G286" s="14" t="str"/>
      <x:c r="H286" s="14" t="str"/>
      <x:c r="I286" s="14" t="str">
        <x:v>https://www.ugc-universities.gov.bd/private-universities</x:v>
      </x:c>
    </x:row>
    <x:row r="287">
      <x:c r="A287" s="14" t="str">
        <x:v>Sylhet</x:v>
      </x:c>
      <x:c r="B287" s="14" t="str">
        <x:v>Sylhet</x:v>
      </x:c>
      <x:c r="C287" s="14" t="str">
        <x:v>Sylhet MAG Osmani Medical College</x:v>
      </x:c>
      <x:c r="D287" s="14" t="str">
        <x:v>Medical College</x:v>
      </x:c>
      <x:c r="E287" s="14" t="str">
        <x:v>Public</x:v>
      </x:c>
      <x:c r="F287" s="14" t="str">
        <x:v>MBBS</x:v>
      </x:c>
      <x:c r="G287" s="14" t="str"/>
      <x:c r="H287" s="14" t="str"/>
      <x:c r="I287" s="14" t="str">
        <x:v>https://en.wikipedia.org/wiki/List_of_medical_colleges_in_Bangladesh</x:v>
      </x:c>
    </x:row>
    <x:row r="288">
      <x:c r="A288" s="14" t="str">
        <x:v>Sylhet</x:v>
      </x:c>
      <x:c r="B288" s="14" t="str">
        <x:v>Sylhet</x:v>
      </x:c>
      <x:c r="C288" s="14" t="str">
        <x:v>Jalalabad Ragib-Rabeya Medical College</x:v>
      </x:c>
      <x:c r="D288" s="14" t="str">
        <x:v>Medical College</x:v>
      </x:c>
      <x:c r="E288" s="14" t="str">
        <x:v>Private</x:v>
      </x:c>
      <x:c r="F288" s="14" t="str">
        <x:v>MBBS</x:v>
      </x:c>
      <x:c r="G288" s="14" t="str"/>
      <x:c r="H288" s="14" t="str"/>
      <x:c r="I288" s="14" t="str">
        <x:v>https://dgme.portal.gov.bd/pages/static-pages/6922dd3c933eb65569e140f7</x:v>
      </x:c>
    </x:row>
    <x:row r="289">
      <x:c r="A289" s="14" t="str">
        <x:v>Sylhet</x:v>
      </x:c>
      <x:c r="B289" s="14" t="str">
        <x:v>Sylhet</x:v>
      </x:c>
      <x:c r="C289" s="14" t="str">
        <x:v>North East Medical College</x:v>
      </x:c>
      <x:c r="D289" s="14" t="str">
        <x:v>Medical College</x:v>
      </x:c>
      <x:c r="E289" s="14" t="str">
        <x:v>Private</x:v>
      </x:c>
      <x:c r="F289" s="14" t="str">
        <x:v>MBBS</x:v>
      </x:c>
      <x:c r="G289" s="14" t="str"/>
      <x:c r="H289" s="14" t="str"/>
      <x:c r="I289" s="14" t="str">
        <x:v>https://dgme.portal.gov.bd/pages/static-pages/6922dd3c933eb65569e140f7</x:v>
      </x:c>
    </x:row>
    <x:row r="290">
      <x:c r="A290" s="14" t="str">
        <x:v>Sylhet</x:v>
      </x:c>
      <x:c r="B290" s="14" t="str">
        <x:v>Sylhet</x:v>
      </x:c>
      <x:c r="C290" s="14" t="str">
        <x:v>Parkview Medical College</x:v>
      </x:c>
      <x:c r="D290" s="14" t="str">
        <x:v>Medical College</x:v>
      </x:c>
      <x:c r="E290" s="14" t="str">
        <x:v>Private</x:v>
      </x:c>
      <x:c r="F290" s="14" t="str">
        <x:v>MBBS</x:v>
      </x:c>
      <x:c r="G290" s="14" t="str"/>
      <x:c r="H290" s="14" t="str"/>
      <x:c r="I290" s="14" t="str">
        <x:v>https://dgme.portal.gov.bd/pages/static-pages/6922dd3c933eb65569e140f7</x:v>
      </x:c>
    </x:row>
    <x:row r="291">
      <x:c r="A291" s="14" t="str">
        <x:v>Sylhet</x:v>
      </x:c>
      <x:c r="B291" s="14" t="str">
        <x:v>Sylhet</x:v>
      </x:c>
      <x:c r="C291" s="14" t="str">
        <x:v>Sylhet Women's Medical College</x:v>
      </x:c>
      <x:c r="D291" s="14" t="str">
        <x:v>Medical College</x:v>
      </x:c>
      <x:c r="E291" s="14" t="str">
        <x:v>Private</x:v>
      </x:c>
      <x:c r="F291" s="14" t="str">
        <x:v>MBBS</x:v>
      </x:c>
      <x:c r="G291" s="14" t="str"/>
      <x:c r="H291" s="14" t="str"/>
      <x:c r="I291" s="14" t="str">
        <x:v>https://dgme.portal.gov.bd/pages/static-pages/6922dd3c933eb65569e140f7</x:v>
      </x:c>
    </x:row>
  </x:sheetData>
  <x:pageMargins left="0.7" right="0.7" top="0.75" bottom="0.75" header="0.3" footer="0.3"/>
  <x:tableParts count="1">
    <x:tablePart xmlns:r="http://schemas.openxmlformats.org/officeDocument/2006/relationships" r:id="Ra9c0ae10008f406b"/>
  </x:tableParts>
</x:worksheet>
</file>

<file path=xl/worksheets/sheet3.xml><?xml version="1.0" encoding="utf-8"?>
<x:worksheet xmlns:x="http://schemas.openxmlformats.org/spreadsheetml/2006/main">
  <x:sheetFormatPr defaultRowHeight="15"/>
  <x:cols>
    <x:col min="1" max="1" width="15" hidden="0" customWidth="1"/>
    <x:col min="2" max="2" width="15"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x:c r="A1" s="6" t="str">
        <x:v>Division</x:v>
      </x:c>
      <x:c r="B1" s="6" t="str">
        <x:v>District</x:v>
      </x:c>
      <x:c r="C1" s="6" t="str">
        <x:v>Public Universities</x:v>
      </x:c>
      <x:c r="D1" s="6" t="str">
        <x:v>Private Universities</x:v>
      </x:c>
      <x:c r="E1" s="6" t="str">
        <x:v>International Universities</x:v>
      </x:c>
      <x:c r="F1" s="6" t="str">
        <x:v>Public Medical Colleges</x:v>
      </x:c>
      <x:c r="G1" s="6" t="str">
        <x:v>Private Medical Colleges</x:v>
      </x:c>
      <x:c r="H1" s="6" t="str">
        <x:v>Military Medical Colleges</x:v>
      </x:c>
      <x:c r="I1" s="6" t="str">
        <x:v>Proposed Medical Colleges</x:v>
      </x:c>
      <x:c r="J1" s="6" t="str">
        <x:v>Total Institutions</x:v>
      </x:c>
    </x:row>
    <x:row r="2">
      <x:c r="A2" s="12" t="str">
        <x:v>Barishal</x:v>
      </x:c>
      <x:c r="B2" s="12" t="str">
        <x:v>Barguna</x:v>
      </x:c>
      <x:c r="C2" s="26" t="n">
        <x:f>COUNTIFS('Institution List'!$B$2:$B$291,B2,'Institution List'!$D$2:$D$291,"University",'Institution List'!$E$2:$E$291,"Public")</x:f>
        <x:v>0</x:v>
      </x:c>
      <x:c r="D2" s="26" t="n">
        <x:f>COUNTIFS('Institution List'!$B$2:$B$291,B2,'Institution List'!$D$2:$D$291,"University",'Institution List'!$E$2:$E$291,"Private")</x:f>
        <x:v>0</x:v>
      </x:c>
      <x:c r="E2" s="26" t="n">
        <x:f>COUNTIFS('Institution List'!$B$2:$B$291,B2,'Institution List'!$D$2:$D$291,"University",'Institution List'!$E$2:$E$291,"International")</x:f>
        <x:v>0</x:v>
      </x:c>
      <x:c r="F2" s="26" t="n">
        <x:f>COUNTIFS('Institution List'!$B$2:$B$291,B2,'Institution List'!$D$2:$D$291,"Medical College",'Institution List'!$E$2:$E$291,"Public")</x:f>
        <x:v>0</x:v>
      </x:c>
      <x:c r="G2" s="26" t="n">
        <x:f>COUNTIFS('Institution List'!$B$2:$B$291,B2,'Institution List'!$D$2:$D$291,"Medical College",'Institution List'!$E$2:$E$291,"Private")</x:f>
        <x:v>0</x:v>
      </x:c>
      <x:c r="H2" s="26" t="n">
        <x:f>COUNTIFS('Institution List'!$B$2:$B$291,B2,'Institution List'!$D$2:$D$291,"Medical College",'Institution List'!$E$2:$E$291,"Military")</x:f>
        <x:v>0</x:v>
      </x:c>
      <x:c r="I2" s="26" t="n">
        <x:f>COUNTIFS('Institution List'!$B$2:$B$291,B2,'Institution List'!$D$2:$D$291,"Medical College",'Institution List'!$E$2:$E$291,"Proposed")</x:f>
        <x:v>0</x:v>
      </x:c>
      <x:c r="J2" s="26" t="n">
        <x:f>SUM(C2:I2)</x:f>
        <x:v>0</x:v>
      </x:c>
    </x:row>
    <x:row r="3">
      <x:c r="A3" s="12" t="str">
        <x:v>Barishal</x:v>
      </x:c>
      <x:c r="B3" s="12" t="str">
        <x:v>Barishal</x:v>
      </x:c>
      <x:c r="C3" s="26" t="n">
        <x:f>COUNTIFS('Institution List'!$B$2:$B$291,B3,'Institution List'!$D$2:$D$291,"University",'Institution List'!$E$2:$E$291,"Public")</x:f>
        <x:v>1</x:v>
      </x:c>
      <x:c r="D3" s="26" t="n">
        <x:f>COUNTIFS('Institution List'!$B$2:$B$291,B3,'Institution List'!$D$2:$D$291,"University",'Institution List'!$E$2:$E$291,"Private")</x:f>
        <x:v>3</x:v>
      </x:c>
      <x:c r="E3" s="26" t="n">
        <x:f>COUNTIFS('Institution List'!$B$2:$B$291,B3,'Institution List'!$D$2:$D$291,"University",'Institution List'!$E$2:$E$291,"International")</x:f>
        <x:v>0</x:v>
      </x:c>
      <x:c r="F3" s="26" t="n">
        <x:f>COUNTIFS('Institution List'!$B$2:$B$291,B3,'Institution List'!$D$2:$D$291,"Medical College",'Institution List'!$E$2:$E$291,"Public")</x:f>
        <x:v>1</x:v>
      </x:c>
      <x:c r="G3" s="26" t="n">
        <x:f>COUNTIFS('Institution List'!$B$2:$B$291,B3,'Institution List'!$D$2:$D$291,"Medical College",'Institution List'!$E$2:$E$291,"Private")</x:f>
        <x:v>1</x:v>
      </x:c>
      <x:c r="H3" s="26" t="n">
        <x:f>COUNTIFS('Institution List'!$B$2:$B$291,B3,'Institution List'!$D$2:$D$291,"Medical College",'Institution List'!$E$2:$E$291,"Military")</x:f>
        <x:v>0</x:v>
      </x:c>
      <x:c r="I3" s="26" t="n">
        <x:f>COUNTIFS('Institution List'!$B$2:$B$291,B3,'Institution List'!$D$2:$D$291,"Medical College",'Institution List'!$E$2:$E$291,"Proposed")</x:f>
        <x:v>0</x:v>
      </x:c>
      <x:c r="J3" s="26" t="n">
        <x:f>SUM(C3:I3)</x:f>
        <x:v>6</x:v>
      </x:c>
    </x:row>
    <x:row r="4">
      <x:c r="A4" s="12" t="str">
        <x:v>Barishal</x:v>
      </x:c>
      <x:c r="B4" s="12" t="str">
        <x:v>Bhola</x:v>
      </x:c>
      <x:c r="C4" s="26" t="n">
        <x:f>COUNTIFS('Institution List'!$B$2:$B$291,B4,'Institution List'!$D$2:$D$291,"University",'Institution List'!$E$2:$E$291,"Public")</x:f>
        <x:v>0</x:v>
      </x:c>
      <x:c r="D4" s="26" t="n">
        <x:f>COUNTIFS('Institution List'!$B$2:$B$291,B4,'Institution List'!$D$2:$D$291,"University",'Institution List'!$E$2:$E$291,"Private")</x:f>
        <x:v>0</x:v>
      </x:c>
      <x:c r="E4" s="26" t="n">
        <x:f>COUNTIFS('Institution List'!$B$2:$B$291,B4,'Institution List'!$D$2:$D$291,"University",'Institution List'!$E$2:$E$291,"International")</x:f>
        <x:v>0</x:v>
      </x:c>
      <x:c r="F4" s="26" t="n">
        <x:f>COUNTIFS('Institution List'!$B$2:$B$291,B4,'Institution List'!$D$2:$D$291,"Medical College",'Institution List'!$E$2:$E$291,"Public")</x:f>
        <x:v>0</x:v>
      </x:c>
      <x:c r="G4" s="26" t="n">
        <x:f>COUNTIFS('Institution List'!$B$2:$B$291,B4,'Institution List'!$D$2:$D$291,"Medical College",'Institution List'!$E$2:$E$291,"Private")</x:f>
        <x:v>0</x:v>
      </x:c>
      <x:c r="H4" s="26" t="n">
        <x:f>COUNTIFS('Institution List'!$B$2:$B$291,B4,'Institution List'!$D$2:$D$291,"Medical College",'Institution List'!$E$2:$E$291,"Military")</x:f>
        <x:v>0</x:v>
      </x:c>
      <x:c r="I4" s="26" t="n">
        <x:f>COUNTIFS('Institution List'!$B$2:$B$291,B4,'Institution List'!$D$2:$D$291,"Medical College",'Institution List'!$E$2:$E$291,"Proposed")</x:f>
        <x:v>0</x:v>
      </x:c>
      <x:c r="J4" s="26" t="n">
        <x:f>SUM(C4:I4)</x:f>
        <x:v>0</x:v>
      </x:c>
    </x:row>
    <x:row r="5">
      <x:c r="A5" s="12" t="str">
        <x:v>Barishal</x:v>
      </x:c>
      <x:c r="B5" s="12" t="str">
        <x:v>Jhalokati</x:v>
      </x:c>
      <x:c r="C5" s="26" t="n">
        <x:f>COUNTIFS('Institution List'!$B$2:$B$291,B5,'Institution List'!$D$2:$D$291,"University",'Institution List'!$E$2:$E$291,"Public")</x:f>
        <x:v>0</x:v>
      </x:c>
      <x:c r="D5" s="26" t="n">
        <x:f>COUNTIFS('Institution List'!$B$2:$B$291,B5,'Institution List'!$D$2:$D$291,"University",'Institution List'!$E$2:$E$291,"Private")</x:f>
        <x:v>0</x:v>
      </x:c>
      <x:c r="E5" s="26" t="n">
        <x:f>COUNTIFS('Institution List'!$B$2:$B$291,B5,'Institution List'!$D$2:$D$291,"University",'Institution List'!$E$2:$E$291,"International")</x:f>
        <x:v>0</x:v>
      </x:c>
      <x:c r="F5" s="26" t="n">
        <x:f>COUNTIFS('Institution List'!$B$2:$B$291,B5,'Institution List'!$D$2:$D$291,"Medical College",'Institution List'!$E$2:$E$291,"Public")</x:f>
        <x:v>0</x:v>
      </x:c>
      <x:c r="G5" s="26" t="n">
        <x:f>COUNTIFS('Institution List'!$B$2:$B$291,B5,'Institution List'!$D$2:$D$291,"Medical College",'Institution List'!$E$2:$E$291,"Private")</x:f>
        <x:v>0</x:v>
      </x:c>
      <x:c r="H5" s="26" t="n">
        <x:f>COUNTIFS('Institution List'!$B$2:$B$291,B5,'Institution List'!$D$2:$D$291,"Medical College",'Institution List'!$E$2:$E$291,"Military")</x:f>
        <x:v>0</x:v>
      </x:c>
      <x:c r="I5" s="26" t="n">
        <x:f>COUNTIFS('Institution List'!$B$2:$B$291,B5,'Institution List'!$D$2:$D$291,"Medical College",'Institution List'!$E$2:$E$291,"Proposed")</x:f>
        <x:v>0</x:v>
      </x:c>
      <x:c r="J5" s="26" t="n">
        <x:f>SUM(C5:I5)</x:f>
        <x:v>0</x:v>
      </x:c>
    </x:row>
    <x:row r="6">
      <x:c r="A6" s="12" t="str">
        <x:v>Barishal</x:v>
      </x:c>
      <x:c r="B6" s="12" t="str">
        <x:v>Patuakhali</x:v>
      </x:c>
      <x:c r="C6" s="26" t="n">
        <x:f>COUNTIFS('Institution List'!$B$2:$B$291,B6,'Institution List'!$D$2:$D$291,"University",'Institution List'!$E$2:$E$291,"Public")</x:f>
        <x:v>1</x:v>
      </x:c>
      <x:c r="D6" s="26" t="n">
        <x:f>COUNTIFS('Institution List'!$B$2:$B$291,B6,'Institution List'!$D$2:$D$291,"University",'Institution List'!$E$2:$E$291,"Private")</x:f>
        <x:v>0</x:v>
      </x:c>
      <x:c r="E6" s="26" t="n">
        <x:f>COUNTIFS('Institution List'!$B$2:$B$291,B6,'Institution List'!$D$2:$D$291,"University",'Institution List'!$E$2:$E$291,"International")</x:f>
        <x:v>0</x:v>
      </x:c>
      <x:c r="F6" s="26" t="n">
        <x:f>COUNTIFS('Institution List'!$B$2:$B$291,B6,'Institution List'!$D$2:$D$291,"Medical College",'Institution List'!$E$2:$E$291,"Public")</x:f>
        <x:v>1</x:v>
      </x:c>
      <x:c r="G6" s="26" t="n">
        <x:f>COUNTIFS('Institution List'!$B$2:$B$291,B6,'Institution List'!$D$2:$D$291,"Medical College",'Institution List'!$E$2:$E$291,"Private")</x:f>
        <x:v>0</x:v>
      </x:c>
      <x:c r="H6" s="26" t="n">
        <x:f>COUNTIFS('Institution List'!$B$2:$B$291,B6,'Institution List'!$D$2:$D$291,"Medical College",'Institution List'!$E$2:$E$291,"Military")</x:f>
        <x:v>0</x:v>
      </x:c>
      <x:c r="I6" s="26" t="n">
        <x:f>COUNTIFS('Institution List'!$B$2:$B$291,B6,'Institution List'!$D$2:$D$291,"Medical College",'Institution List'!$E$2:$E$291,"Proposed")</x:f>
        <x:v>0</x:v>
      </x:c>
      <x:c r="J6" s="26" t="n">
        <x:f>SUM(C6:I6)</x:f>
        <x:v>2</x:v>
      </x:c>
    </x:row>
    <x:row r="7">
      <x:c r="A7" s="12" t="str">
        <x:v>Barishal</x:v>
      </x:c>
      <x:c r="B7" s="12" t="str">
        <x:v>Pirojpur</x:v>
      </x:c>
      <x:c r="C7" s="26" t="n">
        <x:f>COUNTIFS('Institution List'!$B$2:$B$291,B7,'Institution List'!$D$2:$D$291,"University",'Institution List'!$E$2:$E$291,"Public")</x:f>
        <x:v>1</x:v>
      </x:c>
      <x:c r="D7" s="26" t="n">
        <x:f>COUNTIFS('Institution List'!$B$2:$B$291,B7,'Institution List'!$D$2:$D$291,"University",'Institution List'!$E$2:$E$291,"Private")</x:f>
        <x:v>0</x:v>
      </x:c>
      <x:c r="E7" s="26" t="n">
        <x:f>COUNTIFS('Institution List'!$B$2:$B$291,B7,'Institution List'!$D$2:$D$291,"University",'Institution List'!$E$2:$E$291,"International")</x:f>
        <x:v>0</x:v>
      </x:c>
      <x:c r="F7" s="26" t="n">
        <x:f>COUNTIFS('Institution List'!$B$2:$B$291,B7,'Institution List'!$D$2:$D$291,"Medical College",'Institution List'!$E$2:$E$291,"Public")</x:f>
        <x:v>0</x:v>
      </x:c>
      <x:c r="G7" s="26" t="n">
        <x:f>COUNTIFS('Institution List'!$B$2:$B$291,B7,'Institution List'!$D$2:$D$291,"Medical College",'Institution List'!$E$2:$E$291,"Private")</x:f>
        <x:v>0</x:v>
      </x:c>
      <x:c r="H7" s="26" t="n">
        <x:f>COUNTIFS('Institution List'!$B$2:$B$291,B7,'Institution List'!$D$2:$D$291,"Medical College",'Institution List'!$E$2:$E$291,"Military")</x:f>
        <x:v>0</x:v>
      </x:c>
      <x:c r="I7" s="26" t="n">
        <x:f>COUNTIFS('Institution List'!$B$2:$B$291,B7,'Institution List'!$D$2:$D$291,"Medical College",'Institution List'!$E$2:$E$291,"Proposed")</x:f>
        <x:v>0</x:v>
      </x:c>
      <x:c r="J7" s="26" t="n">
        <x:f>SUM(C7:I7)</x:f>
        <x:v>1</x:v>
      </x:c>
    </x:row>
    <x:row r="8">
      <x:c r="A8" s="12" t="str">
        <x:v>Chattogram</x:v>
      </x:c>
      <x:c r="B8" s="12" t="str">
        <x:v>Bandarban</x:v>
      </x:c>
      <x:c r="C8" s="26" t="n">
        <x:f>COUNTIFS('Institution List'!$B$2:$B$291,B8,'Institution List'!$D$2:$D$291,"University",'Institution List'!$E$2:$E$291,"Public")</x:f>
        <x:v>0</x:v>
      </x:c>
      <x:c r="D8" s="26" t="n">
        <x:f>COUNTIFS('Institution List'!$B$2:$B$291,B8,'Institution List'!$D$2:$D$291,"University",'Institution List'!$E$2:$E$291,"Private")</x:f>
        <x:v>1</x:v>
      </x:c>
      <x:c r="E8" s="26" t="n">
        <x:f>COUNTIFS('Institution List'!$B$2:$B$291,B8,'Institution List'!$D$2:$D$291,"University",'Institution List'!$E$2:$E$291,"International")</x:f>
        <x:v>0</x:v>
      </x:c>
      <x:c r="F8" s="26" t="n">
        <x:f>COUNTIFS('Institution List'!$B$2:$B$291,B8,'Institution List'!$D$2:$D$291,"Medical College",'Institution List'!$E$2:$E$291,"Public")</x:f>
        <x:v>0</x:v>
      </x:c>
      <x:c r="G8" s="26" t="n">
        <x:f>COUNTIFS('Institution List'!$B$2:$B$291,B8,'Institution List'!$D$2:$D$291,"Medical College",'Institution List'!$E$2:$E$291,"Private")</x:f>
        <x:v>0</x:v>
      </x:c>
      <x:c r="H8" s="26" t="n">
        <x:f>COUNTIFS('Institution List'!$B$2:$B$291,B8,'Institution List'!$D$2:$D$291,"Medical College",'Institution List'!$E$2:$E$291,"Military")</x:f>
        <x:v>0</x:v>
      </x:c>
      <x:c r="I8" s="26" t="n">
        <x:f>COUNTIFS('Institution List'!$B$2:$B$291,B8,'Institution List'!$D$2:$D$291,"Medical College",'Institution List'!$E$2:$E$291,"Proposed")</x:f>
        <x:v>0</x:v>
      </x:c>
      <x:c r="J8" s="26" t="n">
        <x:f>SUM(C8:I8)</x:f>
        <x:v>1</x:v>
      </x:c>
    </x:row>
    <x:row r="9">
      <x:c r="A9" s="12" t="str">
        <x:v>Chattogram</x:v>
      </x:c>
      <x:c r="B9" s="12" t="str">
        <x:v>Brahmanbaria</x:v>
      </x:c>
      <x:c r="C9" s="26" t="n">
        <x:f>COUNTIFS('Institution List'!$B$2:$B$291,B9,'Institution List'!$D$2:$D$291,"University",'Institution List'!$E$2:$E$291,"Public")</x:f>
        <x:v>0</x:v>
      </x:c>
      <x:c r="D9" s="26" t="n">
        <x:f>COUNTIFS('Institution List'!$B$2:$B$291,B9,'Institution List'!$D$2:$D$291,"University",'Institution List'!$E$2:$E$291,"Private")</x:f>
        <x:v>1</x:v>
      </x:c>
      <x:c r="E9" s="26" t="n">
        <x:f>COUNTIFS('Institution List'!$B$2:$B$291,B9,'Institution List'!$D$2:$D$291,"University",'Institution List'!$E$2:$E$291,"International")</x:f>
        <x:v>0</x:v>
      </x:c>
      <x:c r="F9" s="26" t="n">
        <x:f>COUNTIFS('Institution List'!$B$2:$B$291,B9,'Institution List'!$D$2:$D$291,"Medical College",'Institution List'!$E$2:$E$291,"Public")</x:f>
        <x:v>0</x:v>
      </x:c>
      <x:c r="G9" s="26" t="n">
        <x:f>COUNTIFS('Institution List'!$B$2:$B$291,B9,'Institution List'!$D$2:$D$291,"Medical College",'Institution List'!$E$2:$E$291,"Private")</x:f>
        <x:v>1</x:v>
      </x:c>
      <x:c r="H9" s="26" t="n">
        <x:f>COUNTIFS('Institution List'!$B$2:$B$291,B9,'Institution List'!$D$2:$D$291,"Medical College",'Institution List'!$E$2:$E$291,"Military")</x:f>
        <x:v>0</x:v>
      </x:c>
      <x:c r="I9" s="26" t="n">
        <x:f>COUNTIFS('Institution List'!$B$2:$B$291,B9,'Institution List'!$D$2:$D$291,"Medical College",'Institution List'!$E$2:$E$291,"Proposed")</x:f>
        <x:v>0</x:v>
      </x:c>
      <x:c r="J9" s="26" t="n">
        <x:f>SUM(C9:I9)</x:f>
        <x:v>2</x:v>
      </x:c>
    </x:row>
    <x:row r="10">
      <x:c r="A10" s="12" t="str">
        <x:v>Chattogram</x:v>
      </x:c>
      <x:c r="B10" s="12" t="str">
        <x:v>Chandpur</x:v>
      </x:c>
      <x:c r="C10" s="26" t="n">
        <x:f>COUNTIFS('Institution List'!$B$2:$B$291,B10,'Institution List'!$D$2:$D$291,"University",'Institution List'!$E$2:$E$291,"Public")</x:f>
        <x:v>1</x:v>
      </x:c>
      <x:c r="D10" s="26" t="n">
        <x:f>COUNTIFS('Institution List'!$B$2:$B$291,B10,'Institution List'!$D$2:$D$291,"University",'Institution List'!$E$2:$E$291,"Private")</x:f>
        <x:v>0</x:v>
      </x:c>
      <x:c r="E10" s="26" t="n">
        <x:f>COUNTIFS('Institution List'!$B$2:$B$291,B10,'Institution List'!$D$2:$D$291,"University",'Institution List'!$E$2:$E$291,"International")</x:f>
        <x:v>0</x:v>
      </x:c>
      <x:c r="F10" s="26" t="n">
        <x:f>COUNTIFS('Institution List'!$B$2:$B$291,B10,'Institution List'!$D$2:$D$291,"Medical College",'Institution List'!$E$2:$E$291,"Public")</x:f>
        <x:v>1</x:v>
      </x:c>
      <x:c r="G10" s="26" t="n">
        <x:f>COUNTIFS('Institution List'!$B$2:$B$291,B10,'Institution List'!$D$2:$D$291,"Medical College",'Institution List'!$E$2:$E$291,"Private")</x:f>
        <x:v>0</x:v>
      </x:c>
      <x:c r="H10" s="26" t="n">
        <x:f>COUNTIFS('Institution List'!$B$2:$B$291,B10,'Institution List'!$D$2:$D$291,"Medical College",'Institution List'!$E$2:$E$291,"Military")</x:f>
        <x:v>0</x:v>
      </x:c>
      <x:c r="I10" s="26" t="n">
        <x:f>COUNTIFS('Institution List'!$B$2:$B$291,B10,'Institution List'!$D$2:$D$291,"Medical College",'Institution List'!$E$2:$E$291,"Proposed")</x:f>
        <x:v>0</x:v>
      </x:c>
      <x:c r="J10" s="26" t="n">
        <x:f>SUM(C10:I10)</x:f>
        <x:v>2</x:v>
      </x:c>
    </x:row>
    <x:row r="11">
      <x:c r="A11" s="12" t="str">
        <x:v>Chattogram</x:v>
      </x:c>
      <x:c r="B11" s="12" t="str">
        <x:v>Chattogram</x:v>
      </x:c>
      <x:c r="C11" s="26" t="n">
        <x:f>COUNTIFS('Institution List'!$B$2:$B$291,B11,'Institution List'!$D$2:$D$291,"University",'Institution List'!$E$2:$E$291,"Public")</x:f>
        <x:v>4</x:v>
      </x:c>
      <x:c r="D11" s="26" t="n">
        <x:f>COUNTIFS('Institution List'!$B$2:$B$291,B11,'Institution List'!$D$2:$D$291,"University",'Institution List'!$E$2:$E$291,"Private")</x:f>
        <x:v>10</x:v>
      </x:c>
      <x:c r="E11" s="26" t="n">
        <x:f>COUNTIFS('Institution List'!$B$2:$B$291,B11,'Institution List'!$D$2:$D$291,"University",'Institution List'!$E$2:$E$291,"International")</x:f>
        <x:v>1</x:v>
      </x:c>
      <x:c r="F11" s="26" t="n">
        <x:f>COUNTIFS('Institution List'!$B$2:$B$291,B11,'Institution List'!$D$2:$D$291,"Medical College",'Institution List'!$E$2:$E$291,"Public")</x:f>
        <x:v>1</x:v>
      </x:c>
      <x:c r="G11" s="26" t="n">
        <x:f>COUNTIFS('Institution List'!$B$2:$B$291,B11,'Institution List'!$D$2:$D$291,"Medical College",'Institution List'!$E$2:$E$291,"Private")</x:f>
        <x:v>6</x:v>
      </x:c>
      <x:c r="H11" s="26" t="n">
        <x:f>COUNTIFS('Institution List'!$B$2:$B$291,B11,'Institution List'!$D$2:$D$291,"Medical College",'Institution List'!$E$2:$E$291,"Military")</x:f>
        <x:v>2</x:v>
      </x:c>
      <x:c r="I11" s="26" t="n">
        <x:f>COUNTIFS('Institution List'!$B$2:$B$291,B11,'Institution List'!$D$2:$D$291,"Medical College",'Institution List'!$E$2:$E$291,"Proposed")</x:f>
        <x:v>0</x:v>
      </x:c>
      <x:c r="J11" s="26" t="n">
        <x:f>SUM(C11:I11)</x:f>
        <x:v>24</x:v>
      </x:c>
    </x:row>
    <x:row r="12">
      <x:c r="A12" s="12" t="str">
        <x:v>Chattogram</x:v>
      </x:c>
      <x:c r="B12" s="12" t="str">
        <x:v>Cox's Bazar</x:v>
      </x:c>
      <x:c r="C12" s="26" t="n">
        <x:f>COUNTIFS('Institution List'!$B$2:$B$291,B12,'Institution List'!$D$2:$D$291,"University",'Institution List'!$E$2:$E$291,"Public")</x:f>
        <x:v>0</x:v>
      </x:c>
      <x:c r="D12" s="26" t="n">
        <x:f>COUNTIFS('Institution List'!$B$2:$B$291,B12,'Institution List'!$D$2:$D$291,"University",'Institution List'!$E$2:$E$291,"Private")</x:f>
        <x:v>1</x:v>
      </x:c>
      <x:c r="E12" s="26" t="n">
        <x:f>COUNTIFS('Institution List'!$B$2:$B$291,B12,'Institution List'!$D$2:$D$291,"University",'Institution List'!$E$2:$E$291,"International")</x:f>
        <x:v>0</x:v>
      </x:c>
      <x:c r="F12" s="26" t="n">
        <x:f>COUNTIFS('Institution List'!$B$2:$B$291,B12,'Institution List'!$D$2:$D$291,"Medical College",'Institution List'!$E$2:$E$291,"Public")</x:f>
        <x:v>1</x:v>
      </x:c>
      <x:c r="G12" s="26" t="n">
        <x:f>COUNTIFS('Institution List'!$B$2:$B$291,B12,'Institution List'!$D$2:$D$291,"Medical College",'Institution List'!$E$2:$E$291,"Private")</x:f>
        <x:v>0</x:v>
      </x:c>
      <x:c r="H12" s="26" t="n">
        <x:f>COUNTIFS('Institution List'!$B$2:$B$291,B12,'Institution List'!$D$2:$D$291,"Medical College",'Institution List'!$E$2:$E$291,"Military")</x:f>
        <x:v>0</x:v>
      </x:c>
      <x:c r="I12" s="26" t="n">
        <x:f>COUNTIFS('Institution List'!$B$2:$B$291,B12,'Institution List'!$D$2:$D$291,"Medical College",'Institution List'!$E$2:$E$291,"Proposed")</x:f>
        <x:v>0</x:v>
      </x:c>
      <x:c r="J12" s="26" t="n">
        <x:f>SUM(C12:I12)</x:f>
        <x:v>2</x:v>
      </x:c>
    </x:row>
    <x:row r="13">
      <x:c r="A13" s="12" t="str">
        <x:v>Chattogram</x:v>
      </x:c>
      <x:c r="B13" s="12" t="str">
        <x:v>Cumilla</x:v>
      </x:c>
      <x:c r="C13" s="26" t="n">
        <x:f>COUNTIFS('Institution List'!$B$2:$B$291,B13,'Institution List'!$D$2:$D$291,"University",'Institution List'!$E$2:$E$291,"Public")</x:f>
        <x:v>1</x:v>
      </x:c>
      <x:c r="D13" s="26" t="n">
        <x:f>COUNTIFS('Institution List'!$B$2:$B$291,B13,'Institution List'!$D$2:$D$291,"University",'Institution List'!$E$2:$E$291,"Private")</x:f>
        <x:v>4</x:v>
      </x:c>
      <x:c r="E13" s="26" t="n">
        <x:f>COUNTIFS('Institution List'!$B$2:$B$291,B13,'Institution List'!$D$2:$D$291,"University",'Institution List'!$E$2:$E$291,"International")</x:f>
        <x:v>0</x:v>
      </x:c>
      <x:c r="F13" s="26" t="n">
        <x:f>COUNTIFS('Institution List'!$B$2:$B$291,B13,'Institution List'!$D$2:$D$291,"Medical College",'Institution List'!$E$2:$E$291,"Public")</x:f>
        <x:v>1</x:v>
      </x:c>
      <x:c r="G13" s="26" t="n">
        <x:f>COUNTIFS('Institution List'!$B$2:$B$291,B13,'Institution List'!$D$2:$D$291,"Medical College",'Institution List'!$E$2:$E$291,"Private")</x:f>
        <x:v>3</x:v>
      </x:c>
      <x:c r="H13" s="26" t="n">
        <x:f>COUNTIFS('Institution List'!$B$2:$B$291,B13,'Institution List'!$D$2:$D$291,"Medical College",'Institution List'!$E$2:$E$291,"Military")</x:f>
        <x:v>1</x:v>
      </x:c>
      <x:c r="I13" s="26" t="n">
        <x:f>COUNTIFS('Institution List'!$B$2:$B$291,B13,'Institution List'!$D$2:$D$291,"Medical College",'Institution List'!$E$2:$E$291,"Proposed")</x:f>
        <x:v>0</x:v>
      </x:c>
      <x:c r="J13" s="26" t="n">
        <x:f>SUM(C13:I13)</x:f>
        <x:v>10</x:v>
      </x:c>
    </x:row>
    <x:row r="14">
      <x:c r="A14" s="12" t="str">
        <x:v>Chattogram</x:v>
      </x:c>
      <x:c r="B14" s="12" t="str">
        <x:v>Feni</x:v>
      </x:c>
      <x:c r="C14" s="26" t="n">
        <x:f>COUNTIFS('Institution List'!$B$2:$B$291,B14,'Institution List'!$D$2:$D$291,"University",'Institution List'!$E$2:$E$291,"Public")</x:f>
        <x:v>0</x:v>
      </x:c>
      <x:c r="D14" s="26" t="n">
        <x:f>COUNTIFS('Institution List'!$B$2:$B$291,B14,'Institution List'!$D$2:$D$291,"University",'Institution List'!$E$2:$E$291,"Private")</x:f>
        <x:v>1</x:v>
      </x:c>
      <x:c r="E14" s="26" t="n">
        <x:f>COUNTIFS('Institution List'!$B$2:$B$291,B14,'Institution List'!$D$2:$D$291,"University",'Institution List'!$E$2:$E$291,"International")</x:f>
        <x:v>0</x:v>
      </x:c>
      <x:c r="F14" s="26" t="n">
        <x:f>COUNTIFS('Institution List'!$B$2:$B$291,B14,'Institution List'!$D$2:$D$291,"Medical College",'Institution List'!$E$2:$E$291,"Public")</x:f>
        <x:v>0</x:v>
      </x:c>
      <x:c r="G14" s="26" t="n">
        <x:f>COUNTIFS('Institution List'!$B$2:$B$291,B14,'Institution List'!$D$2:$D$291,"Medical College",'Institution List'!$E$2:$E$291,"Private")</x:f>
        <x:v>0</x:v>
      </x:c>
      <x:c r="H14" s="26" t="n">
        <x:f>COUNTIFS('Institution List'!$B$2:$B$291,B14,'Institution List'!$D$2:$D$291,"Medical College",'Institution List'!$E$2:$E$291,"Military")</x:f>
        <x:v>0</x:v>
      </x:c>
      <x:c r="I14" s="26" t="n">
        <x:f>COUNTIFS('Institution List'!$B$2:$B$291,B14,'Institution List'!$D$2:$D$291,"Medical College",'Institution List'!$E$2:$E$291,"Proposed")</x:f>
        <x:v>0</x:v>
      </x:c>
      <x:c r="J14" s="26" t="n">
        <x:f>SUM(C14:I14)</x:f>
        <x:v>1</x:v>
      </x:c>
    </x:row>
    <x:row r="15">
      <x:c r="A15" s="12" t="str">
        <x:v>Chattogram</x:v>
      </x:c>
      <x:c r="B15" s="12" t="str">
        <x:v>Khagrachhari</x:v>
      </x:c>
      <x:c r="C15" s="26" t="n">
        <x:f>COUNTIFS('Institution List'!$B$2:$B$291,B15,'Institution List'!$D$2:$D$291,"University",'Institution List'!$E$2:$E$291,"Public")</x:f>
        <x:v>0</x:v>
      </x:c>
      <x:c r="D15" s="26" t="n">
        <x:f>COUNTIFS('Institution List'!$B$2:$B$291,B15,'Institution List'!$D$2:$D$291,"University",'Institution List'!$E$2:$E$291,"Private")</x:f>
        <x:v>0</x:v>
      </x:c>
      <x:c r="E15" s="26" t="n">
        <x:f>COUNTIFS('Institution List'!$B$2:$B$291,B15,'Institution List'!$D$2:$D$291,"University",'Institution List'!$E$2:$E$291,"International")</x:f>
        <x:v>0</x:v>
      </x:c>
      <x:c r="F15" s="26" t="n">
        <x:f>COUNTIFS('Institution List'!$B$2:$B$291,B15,'Institution List'!$D$2:$D$291,"Medical College",'Institution List'!$E$2:$E$291,"Public")</x:f>
        <x:v>0</x:v>
      </x:c>
      <x:c r="G15" s="26" t="n">
        <x:f>COUNTIFS('Institution List'!$B$2:$B$291,B15,'Institution List'!$D$2:$D$291,"Medical College",'Institution List'!$E$2:$E$291,"Private")</x:f>
        <x:v>0</x:v>
      </x:c>
      <x:c r="H15" s="26" t="n">
        <x:f>COUNTIFS('Institution List'!$B$2:$B$291,B15,'Institution List'!$D$2:$D$291,"Medical College",'Institution List'!$E$2:$E$291,"Military")</x:f>
        <x:v>0</x:v>
      </x:c>
      <x:c r="I15" s="26" t="n">
        <x:f>COUNTIFS('Institution List'!$B$2:$B$291,B15,'Institution List'!$D$2:$D$291,"Medical College",'Institution List'!$E$2:$E$291,"Proposed")</x:f>
        <x:v>0</x:v>
      </x:c>
      <x:c r="J15" s="26" t="n">
        <x:f>SUM(C15:I15)</x:f>
        <x:v>0</x:v>
      </x:c>
    </x:row>
    <x:row r="16">
      <x:c r="A16" s="12" t="str">
        <x:v>Chattogram</x:v>
      </x:c>
      <x:c r="B16" s="12" t="str">
        <x:v>Lakshmipur</x:v>
      </x:c>
      <x:c r="C16" s="26" t="n">
        <x:f>COUNTIFS('Institution List'!$B$2:$B$291,B16,'Institution List'!$D$2:$D$291,"University",'Institution List'!$E$2:$E$291,"Public")</x:f>
        <x:v>1</x:v>
      </x:c>
      <x:c r="D16" s="26" t="n">
        <x:f>COUNTIFS('Institution List'!$B$2:$B$291,B16,'Institution List'!$D$2:$D$291,"University",'Institution List'!$E$2:$E$291,"Private")</x:f>
        <x:v>0</x:v>
      </x:c>
      <x:c r="E16" s="26" t="n">
        <x:f>COUNTIFS('Institution List'!$B$2:$B$291,B16,'Institution List'!$D$2:$D$291,"University",'Institution List'!$E$2:$E$291,"International")</x:f>
        <x:v>0</x:v>
      </x:c>
      <x:c r="F16" s="26" t="n">
        <x:f>COUNTIFS('Institution List'!$B$2:$B$291,B16,'Institution List'!$D$2:$D$291,"Medical College",'Institution List'!$E$2:$E$291,"Public")</x:f>
        <x:v>0</x:v>
      </x:c>
      <x:c r="G16" s="26" t="n">
        <x:f>COUNTIFS('Institution List'!$B$2:$B$291,B16,'Institution List'!$D$2:$D$291,"Medical College",'Institution List'!$E$2:$E$291,"Private")</x:f>
        <x:v>0</x:v>
      </x:c>
      <x:c r="H16" s="26" t="n">
        <x:f>COUNTIFS('Institution List'!$B$2:$B$291,B16,'Institution List'!$D$2:$D$291,"Medical College",'Institution List'!$E$2:$E$291,"Military")</x:f>
        <x:v>0</x:v>
      </x:c>
      <x:c r="I16" s="26" t="n">
        <x:f>COUNTIFS('Institution List'!$B$2:$B$291,B16,'Institution List'!$D$2:$D$291,"Medical College",'Institution List'!$E$2:$E$291,"Proposed")</x:f>
        <x:v>0</x:v>
      </x:c>
      <x:c r="J16" s="26" t="n">
        <x:f>SUM(C16:I16)</x:f>
        <x:v>1</x:v>
      </x:c>
    </x:row>
    <x:row r="17">
      <x:c r="A17" s="12" t="str">
        <x:v>Chattogram</x:v>
      </x:c>
      <x:c r="B17" s="12" t="str">
        <x:v>Noakhali</x:v>
      </x:c>
      <x:c r="C17" s="26" t="n">
        <x:f>COUNTIFS('Institution List'!$B$2:$B$291,B17,'Institution List'!$D$2:$D$291,"University",'Institution List'!$E$2:$E$291,"Public")</x:f>
        <x:v>1</x:v>
      </x:c>
      <x:c r="D17" s="26" t="n">
        <x:f>COUNTIFS('Institution List'!$B$2:$B$291,B17,'Institution List'!$D$2:$D$291,"University",'Institution List'!$E$2:$E$291,"Private")</x:f>
        <x:v>0</x:v>
      </x:c>
      <x:c r="E17" s="26" t="n">
        <x:f>COUNTIFS('Institution List'!$B$2:$B$291,B17,'Institution List'!$D$2:$D$291,"University",'Institution List'!$E$2:$E$291,"International")</x:f>
        <x:v>0</x:v>
      </x:c>
      <x:c r="F17" s="26" t="n">
        <x:f>COUNTIFS('Institution List'!$B$2:$B$291,B17,'Institution List'!$D$2:$D$291,"Medical College",'Institution List'!$E$2:$E$291,"Public")</x:f>
        <x:v>1</x:v>
      </x:c>
      <x:c r="G17" s="26" t="n">
        <x:f>COUNTIFS('Institution List'!$B$2:$B$291,B17,'Institution List'!$D$2:$D$291,"Medical College",'Institution List'!$E$2:$E$291,"Private")</x:f>
        <x:v>0</x:v>
      </x:c>
      <x:c r="H17" s="26" t="n">
        <x:f>COUNTIFS('Institution List'!$B$2:$B$291,B17,'Institution List'!$D$2:$D$291,"Medical College",'Institution List'!$E$2:$E$291,"Military")</x:f>
        <x:v>0</x:v>
      </x:c>
      <x:c r="I17" s="26" t="n">
        <x:f>COUNTIFS('Institution List'!$B$2:$B$291,B17,'Institution List'!$D$2:$D$291,"Medical College",'Institution List'!$E$2:$E$291,"Proposed")</x:f>
        <x:v>0</x:v>
      </x:c>
      <x:c r="J17" s="26" t="n">
        <x:f>SUM(C17:I17)</x:f>
        <x:v>2</x:v>
      </x:c>
    </x:row>
    <x:row r="18">
      <x:c r="A18" s="12" t="str">
        <x:v>Chattogram</x:v>
      </x:c>
      <x:c r="B18" s="12" t="str">
        <x:v>Rangamati</x:v>
      </x:c>
      <x:c r="C18" s="26" t="n">
        <x:f>COUNTIFS('Institution List'!$B$2:$B$291,B18,'Institution List'!$D$2:$D$291,"University",'Institution List'!$E$2:$E$291,"Public")</x:f>
        <x:v>1</x:v>
      </x:c>
      <x:c r="D18" s="26" t="n">
        <x:f>COUNTIFS('Institution List'!$B$2:$B$291,B18,'Institution List'!$D$2:$D$291,"University",'Institution List'!$E$2:$E$291,"Private")</x:f>
        <x:v>0</x:v>
      </x:c>
      <x:c r="E18" s="26" t="n">
        <x:f>COUNTIFS('Institution List'!$B$2:$B$291,B18,'Institution List'!$D$2:$D$291,"University",'Institution List'!$E$2:$E$291,"International")</x:f>
        <x:v>0</x:v>
      </x:c>
      <x:c r="F18" s="26" t="n">
        <x:f>COUNTIFS('Institution List'!$B$2:$B$291,B18,'Institution List'!$D$2:$D$291,"Medical College",'Institution List'!$E$2:$E$291,"Public")</x:f>
        <x:v>1</x:v>
      </x:c>
      <x:c r="G18" s="26" t="n">
        <x:f>COUNTIFS('Institution List'!$B$2:$B$291,B18,'Institution List'!$D$2:$D$291,"Medical College",'Institution List'!$E$2:$E$291,"Private")</x:f>
        <x:v>0</x:v>
      </x:c>
      <x:c r="H18" s="26" t="n">
        <x:f>COUNTIFS('Institution List'!$B$2:$B$291,B18,'Institution List'!$D$2:$D$291,"Medical College",'Institution List'!$E$2:$E$291,"Military")</x:f>
        <x:v>0</x:v>
      </x:c>
      <x:c r="I18" s="26" t="n">
        <x:f>COUNTIFS('Institution List'!$B$2:$B$291,B18,'Institution List'!$D$2:$D$291,"Medical College",'Institution List'!$E$2:$E$291,"Proposed")</x:f>
        <x:v>0</x:v>
      </x:c>
      <x:c r="J18" s="26" t="n">
        <x:f>SUM(C18:I18)</x:f>
        <x:v>2</x:v>
      </x:c>
    </x:row>
    <x:row r="19">
      <x:c r="A19" s="12" t="str">
        <x:v>Dhaka</x:v>
      </x:c>
      <x:c r="B19" s="12" t="str">
        <x:v>Dhaka</x:v>
      </x:c>
      <x:c r="C19" s="26" t="n">
        <x:f>COUNTIFS('Institution List'!$B$2:$B$291,B19,'Institution List'!$D$2:$D$291,"University",'Institution List'!$E$2:$E$291,"Public")</x:f>
        <x:v>12</x:v>
      </x:c>
      <x:c r="D19" s="26" t="n">
        <x:f>COUNTIFS('Institution List'!$B$2:$B$291,B19,'Institution List'!$D$2:$D$291,"University",'Institution List'!$E$2:$E$291,"Private")</x:f>
        <x:v>62</x:v>
      </x:c>
      <x:c r="E19" s="26" t="n">
        <x:f>COUNTIFS('Institution List'!$B$2:$B$291,B19,'Institution List'!$D$2:$D$291,"University",'Institution List'!$E$2:$E$291,"International")</x:f>
        <x:v>0</x:v>
      </x:c>
      <x:c r="F19" s="26" t="n">
        <x:f>COUNTIFS('Institution List'!$B$2:$B$291,B19,'Institution List'!$D$2:$D$291,"Medical College",'Institution List'!$E$2:$E$291,"Public")</x:f>
        <x:v>4</x:v>
      </x:c>
      <x:c r="G19" s="26" t="n">
        <x:f>COUNTIFS('Institution List'!$B$2:$B$291,B19,'Institution List'!$D$2:$D$291,"Medical College",'Institution List'!$E$2:$E$291,"Private")</x:f>
        <x:v>30</x:v>
      </x:c>
      <x:c r="H19" s="26" t="n">
        <x:f>COUNTIFS('Institution List'!$B$2:$B$291,B19,'Institution List'!$D$2:$D$291,"Medical College",'Institution List'!$E$2:$E$291,"Military")</x:f>
        <x:v>1</x:v>
      </x:c>
      <x:c r="I19" s="26" t="n">
        <x:f>COUNTIFS('Institution List'!$B$2:$B$291,B19,'Institution List'!$D$2:$D$291,"Medical College",'Institution List'!$E$2:$E$291,"Proposed")</x:f>
        <x:v>0</x:v>
      </x:c>
      <x:c r="J19" s="26" t="n">
        <x:f>SUM(C19:I19)</x:f>
        <x:v>109</x:v>
      </x:c>
    </x:row>
    <x:row r="20">
      <x:c r="A20" s="12" t="str">
        <x:v>Dhaka</x:v>
      </x:c>
      <x:c r="B20" s="12" t="str">
        <x:v>Faridpur</x:v>
      </x:c>
      <x:c r="C20" s="26" t="n">
        <x:f>COUNTIFS('Institution List'!$B$2:$B$291,B20,'Institution List'!$D$2:$D$291,"University",'Institution List'!$E$2:$E$291,"Public")</x:f>
        <x:v>0</x:v>
      </x:c>
      <x:c r="D20" s="26" t="n">
        <x:f>COUNTIFS('Institution List'!$B$2:$B$291,B20,'Institution List'!$D$2:$D$291,"University",'Institution List'!$E$2:$E$291,"Private")</x:f>
        <x:v>1</x:v>
      </x:c>
      <x:c r="E20" s="26" t="n">
        <x:f>COUNTIFS('Institution List'!$B$2:$B$291,B20,'Institution List'!$D$2:$D$291,"University",'Institution List'!$E$2:$E$291,"International")</x:f>
        <x:v>0</x:v>
      </x:c>
      <x:c r="F20" s="26" t="n">
        <x:f>COUNTIFS('Institution List'!$B$2:$B$291,B20,'Institution List'!$D$2:$D$291,"Medical College",'Institution List'!$E$2:$E$291,"Public")</x:f>
        <x:v>1</x:v>
      </x:c>
      <x:c r="G20" s="26" t="n">
        <x:f>COUNTIFS('Institution List'!$B$2:$B$291,B20,'Institution List'!$D$2:$D$291,"Medical College",'Institution List'!$E$2:$E$291,"Private")</x:f>
        <x:v>1</x:v>
      </x:c>
      <x:c r="H20" s="26" t="n">
        <x:f>COUNTIFS('Institution List'!$B$2:$B$291,B20,'Institution List'!$D$2:$D$291,"Medical College",'Institution List'!$E$2:$E$291,"Military")</x:f>
        <x:v>0</x:v>
      </x:c>
      <x:c r="I20" s="26" t="n">
        <x:f>COUNTIFS('Institution List'!$B$2:$B$291,B20,'Institution List'!$D$2:$D$291,"Medical College",'Institution List'!$E$2:$E$291,"Proposed")</x:f>
        <x:v>0</x:v>
      </x:c>
      <x:c r="J20" s="26" t="n">
        <x:f>SUM(C20:I20)</x:f>
        <x:v>3</x:v>
      </x:c>
    </x:row>
    <x:row r="21">
      <x:c r="A21" s="12" t="str">
        <x:v>Dhaka</x:v>
      </x:c>
      <x:c r="B21" s="12" t="str">
        <x:v>Gazipur</x:v>
      </x:c>
      <x:c r="C21" s="26" t="n">
        <x:f>COUNTIFS('Institution List'!$B$2:$B$291,B21,'Institution List'!$D$2:$D$291,"University",'Institution List'!$E$2:$E$291,"Public")</x:f>
        <x:v>5</x:v>
      </x:c>
      <x:c r="D21" s="26" t="n">
        <x:f>COUNTIFS('Institution List'!$B$2:$B$291,B21,'Institution List'!$D$2:$D$291,"University",'Institution List'!$E$2:$E$291,"Private")</x:f>
        <x:v>0</x:v>
      </x:c>
      <x:c r="E21" s="26" t="n">
        <x:f>COUNTIFS('Institution List'!$B$2:$B$291,B21,'Institution List'!$D$2:$D$291,"University",'Institution List'!$E$2:$E$291,"International")</x:f>
        <x:v>1</x:v>
      </x:c>
      <x:c r="F21" s="26" t="n">
        <x:f>COUNTIFS('Institution List'!$B$2:$B$291,B21,'Institution List'!$D$2:$D$291,"Medical College",'Institution List'!$E$2:$E$291,"Public")</x:f>
        <x:v>1</x:v>
      </x:c>
      <x:c r="G21" s="26" t="n">
        <x:f>COUNTIFS('Institution List'!$B$2:$B$291,B21,'Institution List'!$D$2:$D$291,"Medical College",'Institution List'!$E$2:$E$291,"Private")</x:f>
        <x:v>3</x:v>
      </x:c>
      <x:c r="H21" s="26" t="n">
        <x:f>COUNTIFS('Institution List'!$B$2:$B$291,B21,'Institution List'!$D$2:$D$291,"Medical College",'Institution List'!$E$2:$E$291,"Military")</x:f>
        <x:v>0</x:v>
      </x:c>
      <x:c r="I21" s="26" t="n">
        <x:f>COUNTIFS('Institution List'!$B$2:$B$291,B21,'Institution List'!$D$2:$D$291,"Medical College",'Institution List'!$E$2:$E$291,"Proposed")</x:f>
        <x:v>0</x:v>
      </x:c>
      <x:c r="J21" s="26" t="n">
        <x:f>SUM(C21:I21)</x:f>
        <x:v>10</x:v>
      </x:c>
    </x:row>
    <x:row r="22">
      <x:c r="A22" s="12" t="str">
        <x:v>Dhaka</x:v>
      </x:c>
      <x:c r="B22" s="12" t="str">
        <x:v>Gopalganj</x:v>
      </x:c>
      <x:c r="C22" s="26" t="n">
        <x:f>COUNTIFS('Institution List'!$B$2:$B$291,B22,'Institution List'!$D$2:$D$291,"University",'Institution List'!$E$2:$E$291,"Public")</x:f>
        <x:v>1</x:v>
      </x:c>
      <x:c r="D22" s="26" t="n">
        <x:f>COUNTIFS('Institution List'!$B$2:$B$291,B22,'Institution List'!$D$2:$D$291,"University",'Institution List'!$E$2:$E$291,"Private")</x:f>
        <x:v>0</x:v>
      </x:c>
      <x:c r="E22" s="26" t="n">
        <x:f>COUNTIFS('Institution List'!$B$2:$B$291,B22,'Institution List'!$D$2:$D$291,"University",'Institution List'!$E$2:$E$291,"International")</x:f>
        <x:v>0</x:v>
      </x:c>
      <x:c r="F22" s="26" t="n">
        <x:f>COUNTIFS('Institution List'!$B$2:$B$291,B22,'Institution List'!$D$2:$D$291,"Medical College",'Institution List'!$E$2:$E$291,"Public")</x:f>
        <x:v>1</x:v>
      </x:c>
      <x:c r="G22" s="26" t="n">
        <x:f>COUNTIFS('Institution List'!$B$2:$B$291,B22,'Institution List'!$D$2:$D$291,"Medical College",'Institution List'!$E$2:$E$291,"Private")</x:f>
        <x:v>0</x:v>
      </x:c>
      <x:c r="H22" s="26" t="n">
        <x:f>COUNTIFS('Institution List'!$B$2:$B$291,B22,'Institution List'!$D$2:$D$291,"Medical College",'Institution List'!$E$2:$E$291,"Military")</x:f>
        <x:v>0</x:v>
      </x:c>
      <x:c r="I22" s="26" t="n">
        <x:f>COUNTIFS('Institution List'!$B$2:$B$291,B22,'Institution List'!$D$2:$D$291,"Medical College",'Institution List'!$E$2:$E$291,"Proposed")</x:f>
        <x:v>0</x:v>
      </x:c>
      <x:c r="J22" s="26" t="n">
        <x:f>SUM(C22:I22)</x:f>
        <x:v>2</x:v>
      </x:c>
    </x:row>
    <x:row r="23">
      <x:c r="A23" s="12" t="str">
        <x:v>Dhaka</x:v>
      </x:c>
      <x:c r="B23" s="12" t="str">
        <x:v>Kishoreganj</x:v>
      </x:c>
      <x:c r="C23" s="26" t="n">
        <x:f>COUNTIFS('Institution List'!$B$2:$B$291,B23,'Institution List'!$D$2:$D$291,"University",'Institution List'!$E$2:$E$291,"Public")</x:f>
        <x:v>1</x:v>
      </x:c>
      <x:c r="D23" s="26" t="n">
        <x:f>COUNTIFS('Institution List'!$B$2:$B$291,B23,'Institution List'!$D$2:$D$291,"University",'Institution List'!$E$2:$E$291,"Private")</x:f>
        <x:v>2</x:v>
      </x:c>
      <x:c r="E23" s="26" t="n">
        <x:f>COUNTIFS('Institution List'!$B$2:$B$291,B23,'Institution List'!$D$2:$D$291,"University",'Institution List'!$E$2:$E$291,"International")</x:f>
        <x:v>0</x:v>
      </x:c>
      <x:c r="F23" s="26" t="n">
        <x:f>COUNTIFS('Institution List'!$B$2:$B$291,B23,'Institution List'!$D$2:$D$291,"Medical College",'Institution List'!$E$2:$E$291,"Public")</x:f>
        <x:v>1</x:v>
      </x:c>
      <x:c r="G23" s="26" t="n">
        <x:f>COUNTIFS('Institution List'!$B$2:$B$291,B23,'Institution List'!$D$2:$D$291,"Medical College",'Institution List'!$E$2:$E$291,"Private")</x:f>
        <x:v>2</x:v>
      </x:c>
      <x:c r="H23" s="26" t="n">
        <x:f>COUNTIFS('Institution List'!$B$2:$B$291,B23,'Institution List'!$D$2:$D$291,"Medical College",'Institution List'!$E$2:$E$291,"Military")</x:f>
        <x:v>0</x:v>
      </x:c>
      <x:c r="I23" s="26" t="n">
        <x:f>COUNTIFS('Institution List'!$B$2:$B$291,B23,'Institution List'!$D$2:$D$291,"Medical College",'Institution List'!$E$2:$E$291,"Proposed")</x:f>
        <x:v>0</x:v>
      </x:c>
      <x:c r="J23" s="26" t="n">
        <x:f>SUM(C23:I23)</x:f>
        <x:v>6</x:v>
      </x:c>
    </x:row>
    <x:row r="24">
      <x:c r="A24" s="12" t="str">
        <x:v>Dhaka</x:v>
      </x:c>
      <x:c r="B24" s="12" t="str">
        <x:v>Madaripur</x:v>
      </x:c>
      <x:c r="C24" s="26" t="n">
        <x:f>COUNTIFS('Institution List'!$B$2:$B$291,B24,'Institution List'!$D$2:$D$291,"University",'Institution List'!$E$2:$E$291,"Public")</x:f>
        <x:v>0</x:v>
      </x:c>
      <x:c r="D24" s="26" t="n">
        <x:f>COUNTIFS('Institution List'!$B$2:$B$291,B24,'Institution List'!$D$2:$D$291,"University",'Institution List'!$E$2:$E$291,"Private")</x:f>
        <x:v>0</x:v>
      </x:c>
      <x:c r="E24" s="26" t="n">
        <x:f>COUNTIFS('Institution List'!$B$2:$B$291,B24,'Institution List'!$D$2:$D$291,"University",'Institution List'!$E$2:$E$291,"International")</x:f>
        <x:v>0</x:v>
      </x:c>
      <x:c r="F24" s="26" t="n">
        <x:f>COUNTIFS('Institution List'!$B$2:$B$291,B24,'Institution List'!$D$2:$D$291,"Medical College",'Institution List'!$E$2:$E$291,"Public")</x:f>
        <x:v>0</x:v>
      </x:c>
      <x:c r="G24" s="26" t="n">
        <x:f>COUNTIFS('Institution List'!$B$2:$B$291,B24,'Institution List'!$D$2:$D$291,"Medical College",'Institution List'!$E$2:$E$291,"Private")</x:f>
        <x:v>0</x:v>
      </x:c>
      <x:c r="H24" s="26" t="n">
        <x:f>COUNTIFS('Institution List'!$B$2:$B$291,B24,'Institution List'!$D$2:$D$291,"Medical College",'Institution List'!$E$2:$E$291,"Military")</x:f>
        <x:v>0</x:v>
      </x:c>
      <x:c r="I24" s="26" t="n">
        <x:f>COUNTIFS('Institution List'!$B$2:$B$291,B24,'Institution List'!$D$2:$D$291,"Medical College",'Institution List'!$E$2:$E$291,"Proposed")</x:f>
        <x:v>0</x:v>
      </x:c>
      <x:c r="J24" s="26" t="n">
        <x:f>SUM(C24:I24)</x:f>
        <x:v>0</x:v>
      </x:c>
    </x:row>
    <x:row r="25">
      <x:c r="A25" s="12" t="str">
        <x:v>Dhaka</x:v>
      </x:c>
      <x:c r="B25" s="12" t="str">
        <x:v>Manikganj</x:v>
      </x:c>
      <x:c r="C25" s="26" t="n">
        <x:f>COUNTIFS('Institution List'!$B$2:$B$291,B25,'Institution List'!$D$2:$D$291,"University",'Institution List'!$E$2:$E$291,"Public")</x:f>
        <x:v>0</x:v>
      </x:c>
      <x:c r="D25" s="26" t="n">
        <x:f>COUNTIFS('Institution List'!$B$2:$B$291,B25,'Institution List'!$D$2:$D$291,"University",'Institution List'!$E$2:$E$291,"Private")</x:f>
        <x:v>1</x:v>
      </x:c>
      <x:c r="E25" s="26" t="n">
        <x:f>COUNTIFS('Institution List'!$B$2:$B$291,B25,'Institution List'!$D$2:$D$291,"University",'Institution List'!$E$2:$E$291,"International")</x:f>
        <x:v>0</x:v>
      </x:c>
      <x:c r="F25" s="26" t="n">
        <x:f>COUNTIFS('Institution List'!$B$2:$B$291,B25,'Institution List'!$D$2:$D$291,"Medical College",'Institution List'!$E$2:$E$291,"Public")</x:f>
        <x:v>1</x:v>
      </x:c>
      <x:c r="G25" s="26" t="n">
        <x:f>COUNTIFS('Institution List'!$B$2:$B$291,B25,'Institution List'!$D$2:$D$291,"Medical College",'Institution List'!$E$2:$E$291,"Private")</x:f>
        <x:v>1</x:v>
      </x:c>
      <x:c r="H25" s="26" t="n">
        <x:f>COUNTIFS('Institution List'!$B$2:$B$291,B25,'Institution List'!$D$2:$D$291,"Medical College",'Institution List'!$E$2:$E$291,"Military")</x:f>
        <x:v>0</x:v>
      </x:c>
      <x:c r="I25" s="26" t="n">
        <x:f>COUNTIFS('Institution List'!$B$2:$B$291,B25,'Institution List'!$D$2:$D$291,"Medical College",'Institution List'!$E$2:$E$291,"Proposed")</x:f>
        <x:v>0</x:v>
      </x:c>
      <x:c r="J25" s="26" t="n">
        <x:f>SUM(C25:I25)</x:f>
        <x:v>3</x:v>
      </x:c>
    </x:row>
    <x:row r="26">
      <x:c r="A26" s="12" t="str">
        <x:v>Dhaka</x:v>
      </x:c>
      <x:c r="B26" s="12" t="str">
        <x:v>Munshiganj</x:v>
      </x:c>
      <x:c r="C26" s="26" t="n">
        <x:f>COUNTIFS('Institution List'!$B$2:$B$291,B26,'Institution List'!$D$2:$D$291,"University",'Institution List'!$E$2:$E$291,"Public")</x:f>
        <x:v>0</x:v>
      </x:c>
      <x:c r="D26" s="26" t="n">
        <x:f>COUNTIFS('Institution List'!$B$2:$B$291,B26,'Institution List'!$D$2:$D$291,"University",'Institution List'!$E$2:$E$291,"Private")</x:f>
        <x:v>0</x:v>
      </x:c>
      <x:c r="E26" s="26" t="n">
        <x:f>COUNTIFS('Institution List'!$B$2:$B$291,B26,'Institution List'!$D$2:$D$291,"University",'Institution List'!$E$2:$E$291,"International")</x:f>
        <x:v>0</x:v>
      </x:c>
      <x:c r="F26" s="26" t="n">
        <x:f>COUNTIFS('Institution List'!$B$2:$B$291,B26,'Institution List'!$D$2:$D$291,"Medical College",'Institution List'!$E$2:$E$291,"Public")</x:f>
        <x:v>0</x:v>
      </x:c>
      <x:c r="G26" s="26" t="n">
        <x:f>COUNTIFS('Institution List'!$B$2:$B$291,B26,'Institution List'!$D$2:$D$291,"Medical College",'Institution List'!$E$2:$E$291,"Private")</x:f>
        <x:v>1</x:v>
      </x:c>
      <x:c r="H26" s="26" t="n">
        <x:f>COUNTIFS('Institution List'!$B$2:$B$291,B26,'Institution List'!$D$2:$D$291,"Medical College",'Institution List'!$E$2:$E$291,"Military")</x:f>
        <x:v>0</x:v>
      </x:c>
      <x:c r="I26" s="26" t="n">
        <x:f>COUNTIFS('Institution List'!$B$2:$B$291,B26,'Institution List'!$D$2:$D$291,"Medical College",'Institution List'!$E$2:$E$291,"Proposed")</x:f>
        <x:v>0</x:v>
      </x:c>
      <x:c r="J26" s="26" t="n">
        <x:f>SUM(C26:I26)</x:f>
        <x:v>1</x:v>
      </x:c>
    </x:row>
    <x:row r="27">
      <x:c r="A27" s="12" t="str">
        <x:v>Dhaka</x:v>
      </x:c>
      <x:c r="B27" s="12" t="str">
        <x:v>Narayanganj</x:v>
      </x:c>
      <x:c r="C27" s="26" t="n">
        <x:f>COUNTIFS('Institution List'!$B$2:$B$291,B27,'Institution List'!$D$2:$D$291,"University",'Institution List'!$E$2:$E$291,"Public")</x:f>
        <x:v>1</x:v>
      </x:c>
      <x:c r="D27" s="26" t="n">
        <x:f>COUNTIFS('Institution List'!$B$2:$B$291,B27,'Institution List'!$D$2:$D$291,"University",'Institution List'!$E$2:$E$291,"Private")</x:f>
        <x:v>2</x:v>
      </x:c>
      <x:c r="E27" s="26" t="n">
        <x:f>COUNTIFS('Institution List'!$B$2:$B$291,B27,'Institution List'!$D$2:$D$291,"University",'Institution List'!$E$2:$E$291,"International")</x:f>
        <x:v>0</x:v>
      </x:c>
      <x:c r="F27" s="26" t="n">
        <x:f>COUNTIFS('Institution List'!$B$2:$B$291,B27,'Institution List'!$D$2:$D$291,"Medical College",'Institution List'!$E$2:$E$291,"Public")</x:f>
        <x:v>0</x:v>
      </x:c>
      <x:c r="G27" s="26" t="n">
        <x:f>COUNTIFS('Institution List'!$B$2:$B$291,B27,'Institution List'!$D$2:$D$291,"Medical College",'Institution List'!$E$2:$E$291,"Private")</x:f>
        <x:v>1</x:v>
      </x:c>
      <x:c r="H27" s="26" t="n">
        <x:f>COUNTIFS('Institution List'!$B$2:$B$291,B27,'Institution List'!$D$2:$D$291,"Medical College",'Institution List'!$E$2:$E$291,"Military")</x:f>
        <x:v>0</x:v>
      </x:c>
      <x:c r="I27" s="26" t="n">
        <x:f>COUNTIFS('Institution List'!$B$2:$B$291,B27,'Institution List'!$D$2:$D$291,"Medical College",'Institution List'!$E$2:$E$291,"Proposed")</x:f>
        <x:v>0</x:v>
      </x:c>
      <x:c r="J27" s="26" t="n">
        <x:f>SUM(C27:I27)</x:f>
        <x:v>4</x:v>
      </x:c>
    </x:row>
    <x:row r="28">
      <x:c r="A28" s="12" t="str">
        <x:v>Dhaka</x:v>
      </x:c>
      <x:c r="B28" s="12" t="str">
        <x:v>Narsingdi</x:v>
      </x:c>
      <x:c r="C28" s="26" t="n">
        <x:f>COUNTIFS('Institution List'!$B$2:$B$291,B28,'Institution List'!$D$2:$D$291,"University",'Institution List'!$E$2:$E$291,"Public")</x:f>
        <x:v>0</x:v>
      </x:c>
      <x:c r="D28" s="26" t="n">
        <x:f>COUNTIFS('Institution List'!$B$2:$B$291,B28,'Institution List'!$D$2:$D$291,"University",'Institution List'!$E$2:$E$291,"Private")</x:f>
        <x:v>0</x:v>
      </x:c>
      <x:c r="E28" s="26" t="n">
        <x:f>COUNTIFS('Institution List'!$B$2:$B$291,B28,'Institution List'!$D$2:$D$291,"University",'Institution List'!$E$2:$E$291,"International")</x:f>
        <x:v>0</x:v>
      </x:c>
      <x:c r="F28" s="26" t="n">
        <x:f>COUNTIFS('Institution List'!$B$2:$B$291,B28,'Institution List'!$D$2:$D$291,"Medical College",'Institution List'!$E$2:$E$291,"Public")</x:f>
        <x:v>0</x:v>
      </x:c>
      <x:c r="G28" s="26" t="n">
        <x:f>COUNTIFS('Institution List'!$B$2:$B$291,B28,'Institution List'!$D$2:$D$291,"Medical College",'Institution List'!$E$2:$E$291,"Private")</x:f>
        <x:v>0</x:v>
      </x:c>
      <x:c r="H28" s="26" t="n">
        <x:f>COUNTIFS('Institution List'!$B$2:$B$291,B28,'Institution List'!$D$2:$D$291,"Medical College",'Institution List'!$E$2:$E$291,"Military")</x:f>
        <x:v>0</x:v>
      </x:c>
      <x:c r="I28" s="26" t="n">
        <x:f>COUNTIFS('Institution List'!$B$2:$B$291,B28,'Institution List'!$D$2:$D$291,"Medical College",'Institution List'!$E$2:$E$291,"Proposed")</x:f>
        <x:v>0</x:v>
      </x:c>
      <x:c r="J28" s="26" t="n">
        <x:f>SUM(C28:I28)</x:f>
        <x:v>0</x:v>
      </x:c>
    </x:row>
    <x:row r="29">
      <x:c r="A29" s="12" t="str">
        <x:v>Dhaka</x:v>
      </x:c>
      <x:c r="B29" s="12" t="str">
        <x:v>Rajbari</x:v>
      </x:c>
      <x:c r="C29" s="26" t="n">
        <x:f>COUNTIFS('Institution List'!$B$2:$B$291,B29,'Institution List'!$D$2:$D$291,"University",'Institution List'!$E$2:$E$291,"Public")</x:f>
        <x:v>0</x:v>
      </x:c>
      <x:c r="D29" s="26" t="n">
        <x:f>COUNTIFS('Institution List'!$B$2:$B$291,B29,'Institution List'!$D$2:$D$291,"University",'Institution List'!$E$2:$E$291,"Private")</x:f>
        <x:v>0</x:v>
      </x:c>
      <x:c r="E29" s="26" t="n">
        <x:f>COUNTIFS('Institution List'!$B$2:$B$291,B29,'Institution List'!$D$2:$D$291,"University",'Institution List'!$E$2:$E$291,"International")</x:f>
        <x:v>0</x:v>
      </x:c>
      <x:c r="F29" s="26" t="n">
        <x:f>COUNTIFS('Institution List'!$B$2:$B$291,B29,'Institution List'!$D$2:$D$291,"Medical College",'Institution List'!$E$2:$E$291,"Public")</x:f>
        <x:v>0</x:v>
      </x:c>
      <x:c r="G29" s="26" t="n">
        <x:f>COUNTIFS('Institution List'!$B$2:$B$291,B29,'Institution List'!$D$2:$D$291,"Medical College",'Institution List'!$E$2:$E$291,"Private")</x:f>
        <x:v>0</x:v>
      </x:c>
      <x:c r="H29" s="26" t="n">
        <x:f>COUNTIFS('Institution List'!$B$2:$B$291,B29,'Institution List'!$D$2:$D$291,"Medical College",'Institution List'!$E$2:$E$291,"Military")</x:f>
        <x:v>0</x:v>
      </x:c>
      <x:c r="I29" s="26" t="n">
        <x:f>COUNTIFS('Institution List'!$B$2:$B$291,B29,'Institution List'!$D$2:$D$291,"Medical College",'Institution List'!$E$2:$E$291,"Proposed")</x:f>
        <x:v>0</x:v>
      </x:c>
      <x:c r="J29" s="26" t="n">
        <x:f>SUM(C29:I29)</x:f>
        <x:v>0</x:v>
      </x:c>
    </x:row>
    <x:row r="30">
      <x:c r="A30" s="12" t="str">
        <x:v>Dhaka</x:v>
      </x:c>
      <x:c r="B30" s="12" t="str">
        <x:v>Shariatpur</x:v>
      </x:c>
      <x:c r="C30" s="26" t="n">
        <x:f>COUNTIFS('Institution List'!$B$2:$B$291,B30,'Institution List'!$D$2:$D$291,"University",'Institution List'!$E$2:$E$291,"Public")</x:f>
        <x:v>1</x:v>
      </x:c>
      <x:c r="D30" s="26" t="n">
        <x:f>COUNTIFS('Institution List'!$B$2:$B$291,B30,'Institution List'!$D$2:$D$291,"University",'Institution List'!$E$2:$E$291,"Private")</x:f>
        <x:v>0</x:v>
      </x:c>
      <x:c r="E30" s="26" t="n">
        <x:f>COUNTIFS('Institution List'!$B$2:$B$291,B30,'Institution List'!$D$2:$D$291,"University",'Institution List'!$E$2:$E$291,"International")</x:f>
        <x:v>0</x:v>
      </x:c>
      <x:c r="F30" s="26" t="n">
        <x:f>COUNTIFS('Institution List'!$B$2:$B$291,B30,'Institution List'!$D$2:$D$291,"Medical College",'Institution List'!$E$2:$E$291,"Public")</x:f>
        <x:v>0</x:v>
      </x:c>
      <x:c r="G30" s="26" t="n">
        <x:f>COUNTIFS('Institution List'!$B$2:$B$291,B30,'Institution List'!$D$2:$D$291,"Medical College",'Institution List'!$E$2:$E$291,"Private")</x:f>
        <x:v>1</x:v>
      </x:c>
      <x:c r="H30" s="26" t="n">
        <x:f>COUNTIFS('Institution List'!$B$2:$B$291,B30,'Institution List'!$D$2:$D$291,"Medical College",'Institution List'!$E$2:$E$291,"Military")</x:f>
        <x:v>0</x:v>
      </x:c>
      <x:c r="I30" s="26" t="n">
        <x:f>COUNTIFS('Institution List'!$B$2:$B$291,B30,'Institution List'!$D$2:$D$291,"Medical College",'Institution List'!$E$2:$E$291,"Proposed")</x:f>
        <x:v>0</x:v>
      </x:c>
      <x:c r="J30" s="26" t="n">
        <x:f>SUM(C30:I30)</x:f>
        <x:v>2</x:v>
      </x:c>
    </x:row>
    <x:row r="31">
      <x:c r="A31" s="12" t="str">
        <x:v>Dhaka</x:v>
      </x:c>
      <x:c r="B31" s="12" t="str">
        <x:v>Tangail</x:v>
      </x:c>
      <x:c r="C31" s="26" t="n">
        <x:f>COUNTIFS('Institution List'!$B$2:$B$291,B31,'Institution List'!$D$2:$D$291,"University",'Institution List'!$E$2:$E$291,"Public")</x:f>
        <x:v>1</x:v>
      </x:c>
      <x:c r="D31" s="26" t="n">
        <x:f>COUNTIFS('Institution List'!$B$2:$B$291,B31,'Institution List'!$D$2:$D$291,"University",'Institution List'!$E$2:$E$291,"Private")</x:f>
        <x:v>0</x:v>
      </x:c>
      <x:c r="E31" s="26" t="n">
        <x:f>COUNTIFS('Institution List'!$B$2:$B$291,B31,'Institution List'!$D$2:$D$291,"University",'Institution List'!$E$2:$E$291,"International")</x:f>
        <x:v>0</x:v>
      </x:c>
      <x:c r="F31" s="26" t="n">
        <x:f>COUNTIFS('Institution List'!$B$2:$B$291,B31,'Institution List'!$D$2:$D$291,"Medical College",'Institution List'!$E$2:$E$291,"Public")</x:f>
        <x:v>1</x:v>
      </x:c>
      <x:c r="G31" s="26" t="n">
        <x:f>COUNTIFS('Institution List'!$B$2:$B$291,B31,'Institution List'!$D$2:$D$291,"Medical College",'Institution List'!$E$2:$E$291,"Private")</x:f>
        <x:v>1</x:v>
      </x:c>
      <x:c r="H31" s="26" t="n">
        <x:f>COUNTIFS('Institution List'!$B$2:$B$291,B31,'Institution List'!$D$2:$D$291,"Medical College",'Institution List'!$E$2:$E$291,"Military")</x:f>
        <x:v>0</x:v>
      </x:c>
      <x:c r="I31" s="26" t="n">
        <x:f>COUNTIFS('Institution List'!$B$2:$B$291,B31,'Institution List'!$D$2:$D$291,"Medical College",'Institution List'!$E$2:$E$291,"Proposed")</x:f>
        <x:v>0</x:v>
      </x:c>
      <x:c r="J31" s="26" t="n">
        <x:f>SUM(C31:I31)</x:f>
        <x:v>3</x:v>
      </x:c>
    </x:row>
    <x:row r="32">
      <x:c r="A32" s="12" t="str">
        <x:v>Khulna</x:v>
      </x:c>
      <x:c r="B32" s="12" t="str">
        <x:v>Bagerhat</x:v>
      </x:c>
      <x:c r="C32" s="26" t="n">
        <x:f>COUNTIFS('Institution List'!$B$2:$B$291,B32,'Institution List'!$D$2:$D$291,"University",'Institution List'!$E$2:$E$291,"Public")</x:f>
        <x:v>0</x:v>
      </x:c>
      <x:c r="D32" s="26" t="n">
        <x:f>COUNTIFS('Institution List'!$B$2:$B$291,B32,'Institution List'!$D$2:$D$291,"University",'Institution List'!$E$2:$E$291,"Private")</x:f>
        <x:v>0</x:v>
      </x:c>
      <x:c r="E32" s="26" t="n">
        <x:f>COUNTIFS('Institution List'!$B$2:$B$291,B32,'Institution List'!$D$2:$D$291,"University",'Institution List'!$E$2:$E$291,"International")</x:f>
        <x:v>0</x:v>
      </x:c>
      <x:c r="F32" s="26" t="n">
        <x:f>COUNTIFS('Institution List'!$B$2:$B$291,B32,'Institution List'!$D$2:$D$291,"Medical College",'Institution List'!$E$2:$E$291,"Public")</x:f>
        <x:v>0</x:v>
      </x:c>
      <x:c r="G32" s="26" t="n">
        <x:f>COUNTIFS('Institution List'!$B$2:$B$291,B32,'Institution List'!$D$2:$D$291,"Medical College",'Institution List'!$E$2:$E$291,"Private")</x:f>
        <x:v>0</x:v>
      </x:c>
      <x:c r="H32" s="26" t="n">
        <x:f>COUNTIFS('Institution List'!$B$2:$B$291,B32,'Institution List'!$D$2:$D$291,"Medical College",'Institution List'!$E$2:$E$291,"Military")</x:f>
        <x:v>0</x:v>
      </x:c>
      <x:c r="I32" s="26" t="n">
        <x:f>COUNTIFS('Institution List'!$B$2:$B$291,B32,'Institution List'!$D$2:$D$291,"Medical College",'Institution List'!$E$2:$E$291,"Proposed")</x:f>
        <x:v>0</x:v>
      </x:c>
      <x:c r="J32" s="26" t="n">
        <x:f>SUM(C32:I32)</x:f>
        <x:v>0</x:v>
      </x:c>
    </x:row>
    <x:row r="33">
      <x:c r="A33" s="12" t="str">
        <x:v>Khulna</x:v>
      </x:c>
      <x:c r="B33" s="12" t="str">
        <x:v>Chuadanga</x:v>
      </x:c>
      <x:c r="C33" s="26" t="n">
        <x:f>COUNTIFS('Institution List'!$B$2:$B$291,B33,'Institution List'!$D$2:$D$291,"University",'Institution List'!$E$2:$E$291,"Public")</x:f>
        <x:v>0</x:v>
      </x:c>
      <x:c r="D33" s="26" t="n">
        <x:f>COUNTIFS('Institution List'!$B$2:$B$291,B33,'Institution List'!$D$2:$D$291,"University",'Institution List'!$E$2:$E$291,"Private")</x:f>
        <x:v>1</x:v>
      </x:c>
      <x:c r="E33" s="26" t="n">
        <x:f>COUNTIFS('Institution List'!$B$2:$B$291,B33,'Institution List'!$D$2:$D$291,"University",'Institution List'!$E$2:$E$291,"International")</x:f>
        <x:v>0</x:v>
      </x:c>
      <x:c r="F33" s="26" t="n">
        <x:f>COUNTIFS('Institution List'!$B$2:$B$291,B33,'Institution List'!$D$2:$D$291,"Medical College",'Institution List'!$E$2:$E$291,"Public")</x:f>
        <x:v>0</x:v>
      </x:c>
      <x:c r="G33" s="26" t="n">
        <x:f>COUNTIFS('Institution List'!$B$2:$B$291,B33,'Institution List'!$D$2:$D$291,"Medical College",'Institution List'!$E$2:$E$291,"Private")</x:f>
        <x:v>0</x:v>
      </x:c>
      <x:c r="H33" s="26" t="n">
        <x:f>COUNTIFS('Institution List'!$B$2:$B$291,B33,'Institution List'!$D$2:$D$291,"Medical College",'Institution List'!$E$2:$E$291,"Military")</x:f>
        <x:v>0</x:v>
      </x:c>
      <x:c r="I33" s="26" t="n">
        <x:f>COUNTIFS('Institution List'!$B$2:$B$291,B33,'Institution List'!$D$2:$D$291,"Medical College",'Institution List'!$E$2:$E$291,"Proposed")</x:f>
        <x:v>0</x:v>
      </x:c>
      <x:c r="J33" s="26" t="n">
        <x:f>SUM(C33:I33)</x:f>
        <x:v>1</x:v>
      </x:c>
    </x:row>
    <x:row r="34">
      <x:c r="A34" s="12" t="str">
        <x:v>Khulna</x:v>
      </x:c>
      <x:c r="B34" s="12" t="str">
        <x:v>Jashore</x:v>
      </x:c>
      <x:c r="C34" s="26" t="n">
        <x:f>COUNTIFS('Institution List'!$B$2:$B$291,B34,'Institution List'!$D$2:$D$291,"University",'Institution List'!$E$2:$E$291,"Public")</x:f>
        <x:v>1</x:v>
      </x:c>
      <x:c r="D34" s="26" t="n">
        <x:f>COUNTIFS('Institution List'!$B$2:$B$291,B34,'Institution List'!$D$2:$D$291,"University",'Institution List'!$E$2:$E$291,"Private")</x:f>
        <x:v>0</x:v>
      </x:c>
      <x:c r="E34" s="26" t="n">
        <x:f>COUNTIFS('Institution List'!$B$2:$B$291,B34,'Institution List'!$D$2:$D$291,"University",'Institution List'!$E$2:$E$291,"International")</x:f>
        <x:v>0</x:v>
      </x:c>
      <x:c r="F34" s="26" t="n">
        <x:f>COUNTIFS('Institution List'!$B$2:$B$291,B34,'Institution List'!$D$2:$D$291,"Medical College",'Institution List'!$E$2:$E$291,"Public")</x:f>
        <x:v>1</x:v>
      </x:c>
      <x:c r="G34" s="26" t="n">
        <x:f>COUNTIFS('Institution List'!$B$2:$B$291,B34,'Institution List'!$D$2:$D$291,"Medical College",'Institution List'!$E$2:$E$291,"Private")</x:f>
        <x:v>1</x:v>
      </x:c>
      <x:c r="H34" s="26" t="n">
        <x:f>COUNTIFS('Institution List'!$B$2:$B$291,B34,'Institution List'!$D$2:$D$291,"Medical College",'Institution List'!$E$2:$E$291,"Military")</x:f>
        <x:v>1</x:v>
      </x:c>
      <x:c r="I34" s="26" t="n">
        <x:f>COUNTIFS('Institution List'!$B$2:$B$291,B34,'Institution List'!$D$2:$D$291,"Medical College",'Institution List'!$E$2:$E$291,"Proposed")</x:f>
        <x:v>0</x:v>
      </x:c>
      <x:c r="J34" s="26" t="n">
        <x:f>SUM(C34:I34)</x:f>
        <x:v>4</x:v>
      </x:c>
    </x:row>
    <x:row r="35">
      <x:c r="A35" s="12" t="str">
        <x:v>Khulna</x:v>
      </x:c>
      <x:c r="B35" s="12" t="str">
        <x:v>Jhenaidah</x:v>
      </x:c>
      <x:c r="C35" s="26" t="n">
        <x:f>COUNTIFS('Institution List'!$B$2:$B$291,B35,'Institution List'!$D$2:$D$291,"University",'Institution List'!$E$2:$E$291,"Public")</x:f>
        <x:v>0</x:v>
      </x:c>
      <x:c r="D35" s="26" t="n">
        <x:f>COUNTIFS('Institution List'!$B$2:$B$291,B35,'Institution List'!$D$2:$D$291,"University",'Institution List'!$E$2:$E$291,"Private")</x:f>
        <x:v>0</x:v>
      </x:c>
      <x:c r="E35" s="26" t="n">
        <x:f>COUNTIFS('Institution List'!$B$2:$B$291,B35,'Institution List'!$D$2:$D$291,"University",'Institution List'!$E$2:$E$291,"International")</x:f>
        <x:v>0</x:v>
      </x:c>
      <x:c r="F35" s="26" t="n">
        <x:f>COUNTIFS('Institution List'!$B$2:$B$291,B35,'Institution List'!$D$2:$D$291,"Medical College",'Institution List'!$E$2:$E$291,"Public")</x:f>
        <x:v>0</x:v>
      </x:c>
      <x:c r="G35" s="26" t="n">
        <x:f>COUNTIFS('Institution List'!$B$2:$B$291,B35,'Institution List'!$D$2:$D$291,"Medical College",'Institution List'!$E$2:$E$291,"Private")</x:f>
        <x:v>0</x:v>
      </x:c>
      <x:c r="H35" s="26" t="n">
        <x:f>COUNTIFS('Institution List'!$B$2:$B$291,B35,'Institution List'!$D$2:$D$291,"Medical College",'Institution List'!$E$2:$E$291,"Military")</x:f>
        <x:v>0</x:v>
      </x:c>
      <x:c r="I35" s="26" t="n">
        <x:f>COUNTIFS('Institution List'!$B$2:$B$291,B35,'Institution List'!$D$2:$D$291,"Medical College",'Institution List'!$E$2:$E$291,"Proposed")</x:f>
        <x:v>0</x:v>
      </x:c>
      <x:c r="J35" s="26" t="n">
        <x:f>SUM(C35:I35)</x:f>
        <x:v>0</x:v>
      </x:c>
    </x:row>
    <x:row r="36">
      <x:c r="A36" s="12" t="str">
        <x:v>Khulna</x:v>
      </x:c>
      <x:c r="B36" s="12" t="str">
        <x:v>Khulna</x:v>
      </x:c>
      <x:c r="C36" s="26" t="n">
        <x:f>COUNTIFS('Institution List'!$B$2:$B$291,B36,'Institution List'!$D$2:$D$291,"University",'Institution List'!$E$2:$E$291,"Public")</x:f>
        <x:v>4</x:v>
      </x:c>
      <x:c r="D36" s="26" t="n">
        <x:f>COUNTIFS('Institution List'!$B$2:$B$291,B36,'Institution List'!$D$2:$D$291,"University",'Institution List'!$E$2:$E$291,"Private")</x:f>
        <x:v>4</x:v>
      </x:c>
      <x:c r="E36" s="26" t="n">
        <x:f>COUNTIFS('Institution List'!$B$2:$B$291,B36,'Institution List'!$D$2:$D$291,"University",'Institution List'!$E$2:$E$291,"International")</x:f>
        <x:v>0</x:v>
      </x:c>
      <x:c r="F36" s="26" t="n">
        <x:f>COUNTIFS('Institution List'!$B$2:$B$291,B36,'Institution List'!$D$2:$D$291,"Medical College",'Institution List'!$E$2:$E$291,"Public")</x:f>
        <x:v>1</x:v>
      </x:c>
      <x:c r="G36" s="26" t="n">
        <x:f>COUNTIFS('Institution List'!$B$2:$B$291,B36,'Institution List'!$D$2:$D$291,"Medical College",'Institution List'!$E$2:$E$291,"Private")</x:f>
        <x:v>3</x:v>
      </x:c>
      <x:c r="H36" s="26" t="n">
        <x:f>COUNTIFS('Institution List'!$B$2:$B$291,B36,'Institution List'!$D$2:$D$291,"Medical College",'Institution List'!$E$2:$E$291,"Military")</x:f>
        <x:v>0</x:v>
      </x:c>
      <x:c r="I36" s="26" t="n">
        <x:f>COUNTIFS('Institution List'!$B$2:$B$291,B36,'Institution List'!$D$2:$D$291,"Medical College",'Institution List'!$E$2:$E$291,"Proposed")</x:f>
        <x:v>0</x:v>
      </x:c>
      <x:c r="J36" s="26" t="n">
        <x:f>SUM(C36:I36)</x:f>
        <x:v>12</x:v>
      </x:c>
    </x:row>
    <x:row r="37">
      <x:c r="A37" s="12" t="str">
        <x:v>Khulna</x:v>
      </x:c>
      <x:c r="B37" s="12" t="str">
        <x:v>Kushtia</x:v>
      </x:c>
      <x:c r="C37" s="26" t="n">
        <x:f>COUNTIFS('Institution List'!$B$2:$B$291,B37,'Institution List'!$D$2:$D$291,"University",'Institution List'!$E$2:$E$291,"Public")</x:f>
        <x:v>1</x:v>
      </x:c>
      <x:c r="D37" s="26" t="n">
        <x:f>COUNTIFS('Institution List'!$B$2:$B$291,B37,'Institution List'!$D$2:$D$291,"University",'Institution List'!$E$2:$E$291,"Private")</x:f>
        <x:v>3</x:v>
      </x:c>
      <x:c r="E37" s="26" t="n">
        <x:f>COUNTIFS('Institution List'!$B$2:$B$291,B37,'Institution List'!$D$2:$D$291,"University",'Institution List'!$E$2:$E$291,"International")</x:f>
        <x:v>0</x:v>
      </x:c>
      <x:c r="F37" s="26" t="n">
        <x:f>COUNTIFS('Institution List'!$B$2:$B$291,B37,'Institution List'!$D$2:$D$291,"Medical College",'Institution List'!$E$2:$E$291,"Public")</x:f>
        <x:v>1</x:v>
      </x:c>
      <x:c r="G37" s="26" t="n">
        <x:f>COUNTIFS('Institution List'!$B$2:$B$291,B37,'Institution List'!$D$2:$D$291,"Medical College",'Institution List'!$E$2:$E$291,"Private")</x:f>
        <x:v>0</x:v>
      </x:c>
      <x:c r="H37" s="26" t="n">
        <x:f>COUNTIFS('Institution List'!$B$2:$B$291,B37,'Institution List'!$D$2:$D$291,"Medical College",'Institution List'!$E$2:$E$291,"Military")</x:f>
        <x:v>0</x:v>
      </x:c>
      <x:c r="I37" s="26" t="n">
        <x:f>COUNTIFS('Institution List'!$B$2:$B$291,B37,'Institution List'!$D$2:$D$291,"Medical College",'Institution List'!$E$2:$E$291,"Proposed")</x:f>
        <x:v>0</x:v>
      </x:c>
      <x:c r="J37" s="26" t="n">
        <x:f>SUM(C37:I37)</x:f>
        <x:v>5</x:v>
      </x:c>
    </x:row>
    <x:row r="38">
      <x:c r="A38" s="12" t="str">
        <x:v>Khulna</x:v>
      </x:c>
      <x:c r="B38" s="12" t="str">
        <x:v>Magura</x:v>
      </x:c>
      <x:c r="C38" s="26" t="n">
        <x:f>COUNTIFS('Institution List'!$B$2:$B$291,B38,'Institution List'!$D$2:$D$291,"University",'Institution List'!$E$2:$E$291,"Public")</x:f>
        <x:v>0</x:v>
      </x:c>
      <x:c r="D38" s="26" t="n">
        <x:f>COUNTIFS('Institution List'!$B$2:$B$291,B38,'Institution List'!$D$2:$D$291,"University",'Institution List'!$E$2:$E$291,"Private")</x:f>
        <x:v>0</x:v>
      </x:c>
      <x:c r="E38" s="26" t="n">
        <x:f>COUNTIFS('Institution List'!$B$2:$B$291,B38,'Institution List'!$D$2:$D$291,"University",'Institution List'!$E$2:$E$291,"International")</x:f>
        <x:v>0</x:v>
      </x:c>
      <x:c r="F38" s="26" t="n">
        <x:f>COUNTIFS('Institution List'!$B$2:$B$291,B38,'Institution List'!$D$2:$D$291,"Medical College",'Institution List'!$E$2:$E$291,"Public")</x:f>
        <x:v>1</x:v>
      </x:c>
      <x:c r="G38" s="26" t="n">
        <x:f>COUNTIFS('Institution List'!$B$2:$B$291,B38,'Institution List'!$D$2:$D$291,"Medical College",'Institution List'!$E$2:$E$291,"Private")</x:f>
        <x:v>0</x:v>
      </x:c>
      <x:c r="H38" s="26" t="n">
        <x:f>COUNTIFS('Institution List'!$B$2:$B$291,B38,'Institution List'!$D$2:$D$291,"Medical College",'Institution List'!$E$2:$E$291,"Military")</x:f>
        <x:v>0</x:v>
      </x:c>
      <x:c r="I38" s="26" t="n">
        <x:f>COUNTIFS('Institution List'!$B$2:$B$291,B38,'Institution List'!$D$2:$D$291,"Medical College",'Institution List'!$E$2:$E$291,"Proposed")</x:f>
        <x:v>0</x:v>
      </x:c>
      <x:c r="J38" s="26" t="n">
        <x:f>SUM(C38:I38)</x:f>
        <x:v>1</x:v>
      </x:c>
    </x:row>
    <x:row r="39">
      <x:c r="A39" s="12" t="str">
        <x:v>Khulna</x:v>
      </x:c>
      <x:c r="B39" s="12" t="str">
        <x:v>Meherpur</x:v>
      </x:c>
      <x:c r="C39" s="26" t="n">
        <x:f>COUNTIFS('Institution List'!$B$2:$B$291,B39,'Institution List'!$D$2:$D$291,"University",'Institution List'!$E$2:$E$291,"Public")</x:f>
        <x:v>1</x:v>
      </x:c>
      <x:c r="D39" s="26" t="n">
        <x:f>COUNTIFS('Institution List'!$B$2:$B$291,B39,'Institution List'!$D$2:$D$291,"University",'Institution List'!$E$2:$E$291,"Private")</x:f>
        <x:v>0</x:v>
      </x:c>
      <x:c r="E39" s="26" t="n">
        <x:f>COUNTIFS('Institution List'!$B$2:$B$291,B39,'Institution List'!$D$2:$D$291,"University",'Institution List'!$E$2:$E$291,"International")</x:f>
        <x:v>0</x:v>
      </x:c>
      <x:c r="F39" s="26" t="n">
        <x:f>COUNTIFS('Institution List'!$B$2:$B$291,B39,'Institution List'!$D$2:$D$291,"Medical College",'Institution List'!$E$2:$E$291,"Public")</x:f>
        <x:v>0</x:v>
      </x:c>
      <x:c r="G39" s="26" t="n">
        <x:f>COUNTIFS('Institution List'!$B$2:$B$291,B39,'Institution List'!$D$2:$D$291,"Medical College",'Institution List'!$E$2:$E$291,"Private")</x:f>
        <x:v>0</x:v>
      </x:c>
      <x:c r="H39" s="26" t="n">
        <x:f>COUNTIFS('Institution List'!$B$2:$B$291,B39,'Institution List'!$D$2:$D$291,"Medical College",'Institution List'!$E$2:$E$291,"Military")</x:f>
        <x:v>0</x:v>
      </x:c>
      <x:c r="I39" s="26" t="n">
        <x:f>COUNTIFS('Institution List'!$B$2:$B$291,B39,'Institution List'!$D$2:$D$291,"Medical College",'Institution List'!$E$2:$E$291,"Proposed")</x:f>
        <x:v>0</x:v>
      </x:c>
      <x:c r="J39" s="26" t="n">
        <x:f>SUM(C39:I39)</x:f>
        <x:v>1</x:v>
      </x:c>
    </x:row>
    <x:row r="40">
      <x:c r="A40" s="12" t="str">
        <x:v>Khulna</x:v>
      </x:c>
      <x:c r="B40" s="12" t="str">
        <x:v>Narail</x:v>
      </x:c>
      <x:c r="C40" s="26" t="n">
        <x:f>COUNTIFS('Institution List'!$B$2:$B$291,B40,'Institution List'!$D$2:$D$291,"University",'Institution List'!$E$2:$E$291,"Public")</x:f>
        <x:v>0</x:v>
      </x:c>
      <x:c r="D40" s="26" t="n">
        <x:f>COUNTIFS('Institution List'!$B$2:$B$291,B40,'Institution List'!$D$2:$D$291,"University",'Institution List'!$E$2:$E$291,"Private")</x:f>
        <x:v>0</x:v>
      </x:c>
      <x:c r="E40" s="26" t="n">
        <x:f>COUNTIFS('Institution List'!$B$2:$B$291,B40,'Institution List'!$D$2:$D$291,"University",'Institution List'!$E$2:$E$291,"International")</x:f>
        <x:v>0</x:v>
      </x:c>
      <x:c r="F40" s="26" t="n">
        <x:f>COUNTIFS('Institution List'!$B$2:$B$291,B40,'Institution List'!$D$2:$D$291,"Medical College",'Institution List'!$E$2:$E$291,"Public")</x:f>
        <x:v>0</x:v>
      </x:c>
      <x:c r="G40" s="26" t="n">
        <x:f>COUNTIFS('Institution List'!$B$2:$B$291,B40,'Institution List'!$D$2:$D$291,"Medical College",'Institution List'!$E$2:$E$291,"Private")</x:f>
        <x:v>0</x:v>
      </x:c>
      <x:c r="H40" s="26" t="n">
        <x:f>COUNTIFS('Institution List'!$B$2:$B$291,B40,'Institution List'!$D$2:$D$291,"Medical College",'Institution List'!$E$2:$E$291,"Military")</x:f>
        <x:v>0</x:v>
      </x:c>
      <x:c r="I40" s="26" t="n">
        <x:f>COUNTIFS('Institution List'!$B$2:$B$291,B40,'Institution List'!$D$2:$D$291,"Medical College",'Institution List'!$E$2:$E$291,"Proposed")</x:f>
        <x:v>0</x:v>
      </x:c>
      <x:c r="J40" s="26" t="n">
        <x:f>SUM(C40:I40)</x:f>
        <x:v>0</x:v>
      </x:c>
    </x:row>
    <x:row r="41">
      <x:c r="A41" s="12" t="str">
        <x:v>Khulna</x:v>
      </x:c>
      <x:c r="B41" s="12" t="str">
        <x:v>Satkhira</x:v>
      </x:c>
      <x:c r="C41" s="26" t="n">
        <x:f>COUNTIFS('Institution List'!$B$2:$B$291,B41,'Institution List'!$D$2:$D$291,"University",'Institution List'!$E$2:$E$291,"Public")</x:f>
        <x:v>1</x:v>
      </x:c>
      <x:c r="D41" s="26" t="n">
        <x:f>COUNTIFS('Institution List'!$B$2:$B$291,B41,'Institution List'!$D$2:$D$291,"University",'Institution List'!$E$2:$E$291,"Private")</x:f>
        <x:v>0</x:v>
      </x:c>
      <x:c r="E41" s="26" t="n">
        <x:f>COUNTIFS('Institution List'!$B$2:$B$291,B41,'Institution List'!$D$2:$D$291,"University",'Institution List'!$E$2:$E$291,"International")</x:f>
        <x:v>0</x:v>
      </x:c>
      <x:c r="F41" s="26" t="n">
        <x:f>COUNTIFS('Institution List'!$B$2:$B$291,B41,'Institution List'!$D$2:$D$291,"Medical College",'Institution List'!$E$2:$E$291,"Public")</x:f>
        <x:v>1</x:v>
      </x:c>
      <x:c r="G41" s="26" t="n">
        <x:f>COUNTIFS('Institution List'!$B$2:$B$291,B41,'Institution List'!$D$2:$D$291,"Medical College",'Institution List'!$E$2:$E$291,"Private")</x:f>
        <x:v>0</x:v>
      </x:c>
      <x:c r="H41" s="26" t="n">
        <x:f>COUNTIFS('Institution List'!$B$2:$B$291,B41,'Institution List'!$D$2:$D$291,"Medical College",'Institution List'!$E$2:$E$291,"Military")</x:f>
        <x:v>0</x:v>
      </x:c>
      <x:c r="I41" s="26" t="n">
        <x:f>COUNTIFS('Institution List'!$B$2:$B$291,B41,'Institution List'!$D$2:$D$291,"Medical College",'Institution List'!$E$2:$E$291,"Proposed")</x:f>
        <x:v>0</x:v>
      </x:c>
      <x:c r="J41" s="26" t="n">
        <x:f>SUM(C41:I41)</x:f>
        <x:v>2</x:v>
      </x:c>
    </x:row>
    <x:row r="42">
      <x:c r="A42" s="12" t="str">
        <x:v>Mymensingh</x:v>
      </x:c>
      <x:c r="B42" s="12" t="str">
        <x:v>Jamalpur</x:v>
      </x:c>
      <x:c r="C42" s="26" t="n">
        <x:f>COUNTIFS('Institution List'!$B$2:$B$291,B42,'Institution List'!$D$2:$D$291,"University",'Institution List'!$E$2:$E$291,"Public")</x:f>
        <x:v>1</x:v>
      </x:c>
      <x:c r="D42" s="26" t="n">
        <x:f>COUNTIFS('Institution List'!$B$2:$B$291,B42,'Institution List'!$D$2:$D$291,"University",'Institution List'!$E$2:$E$291,"Private")</x:f>
        <x:v>0</x:v>
      </x:c>
      <x:c r="E42" s="26" t="n">
        <x:f>COUNTIFS('Institution List'!$B$2:$B$291,B42,'Institution List'!$D$2:$D$291,"University",'Institution List'!$E$2:$E$291,"International")</x:f>
        <x:v>0</x:v>
      </x:c>
      <x:c r="F42" s="26" t="n">
        <x:f>COUNTIFS('Institution List'!$B$2:$B$291,B42,'Institution List'!$D$2:$D$291,"Medical College",'Institution List'!$E$2:$E$291,"Public")</x:f>
        <x:v>1</x:v>
      </x:c>
      <x:c r="G42" s="26" t="n">
        <x:f>COUNTIFS('Institution List'!$B$2:$B$291,B42,'Institution List'!$D$2:$D$291,"Medical College",'Institution List'!$E$2:$E$291,"Private")</x:f>
        <x:v>0</x:v>
      </x:c>
      <x:c r="H42" s="26" t="n">
        <x:f>COUNTIFS('Institution List'!$B$2:$B$291,B42,'Institution List'!$D$2:$D$291,"Medical College",'Institution List'!$E$2:$E$291,"Military")</x:f>
        <x:v>0</x:v>
      </x:c>
      <x:c r="I42" s="26" t="n">
        <x:f>COUNTIFS('Institution List'!$B$2:$B$291,B42,'Institution List'!$D$2:$D$291,"Medical College",'Institution List'!$E$2:$E$291,"Proposed")</x:f>
        <x:v>0</x:v>
      </x:c>
      <x:c r="J42" s="26" t="n">
        <x:f>SUM(C42:I42)</x:f>
        <x:v>2</x:v>
      </x:c>
    </x:row>
    <x:row r="43">
      <x:c r="A43" s="12" t="str">
        <x:v>Mymensingh</x:v>
      </x:c>
      <x:c r="B43" s="12" t="str">
        <x:v>Mymensingh</x:v>
      </x:c>
      <x:c r="C43" s="26" t="n">
        <x:f>COUNTIFS('Institution List'!$B$2:$B$291,B43,'Institution List'!$D$2:$D$291,"University",'Institution List'!$E$2:$E$291,"Public")</x:f>
        <x:v>2</x:v>
      </x:c>
      <x:c r="D43" s="26" t="n">
        <x:f>COUNTIFS('Institution List'!$B$2:$B$291,B43,'Institution List'!$D$2:$D$291,"University",'Institution List'!$E$2:$E$291,"Private")</x:f>
        <x:v>0</x:v>
      </x:c>
      <x:c r="E43" s="26" t="n">
        <x:f>COUNTIFS('Institution List'!$B$2:$B$291,B43,'Institution List'!$D$2:$D$291,"University",'Institution List'!$E$2:$E$291,"International")</x:f>
        <x:v>0</x:v>
      </x:c>
      <x:c r="F43" s="26" t="n">
        <x:f>COUNTIFS('Institution List'!$B$2:$B$291,B43,'Institution List'!$D$2:$D$291,"Medical College",'Institution List'!$E$2:$E$291,"Public")</x:f>
        <x:v>1</x:v>
      </x:c>
      <x:c r="G43" s="26" t="n">
        <x:f>COUNTIFS('Institution List'!$B$2:$B$291,B43,'Institution List'!$D$2:$D$291,"Medical College",'Institution List'!$E$2:$E$291,"Private")</x:f>
        <x:v>1</x:v>
      </x:c>
      <x:c r="H43" s="26" t="n">
        <x:f>COUNTIFS('Institution List'!$B$2:$B$291,B43,'Institution List'!$D$2:$D$291,"Medical College",'Institution List'!$E$2:$E$291,"Military")</x:f>
        <x:v>0</x:v>
      </x:c>
      <x:c r="I43" s="26" t="n">
        <x:f>COUNTIFS('Institution List'!$B$2:$B$291,B43,'Institution List'!$D$2:$D$291,"Medical College",'Institution List'!$E$2:$E$291,"Proposed")</x:f>
        <x:v>0</x:v>
      </x:c>
      <x:c r="J43" s="26" t="n">
        <x:f>SUM(C43:I43)</x:f>
        <x:v>4</x:v>
      </x:c>
    </x:row>
    <x:row r="44">
      <x:c r="A44" s="12" t="str">
        <x:v>Mymensingh</x:v>
      </x:c>
      <x:c r="B44" s="12" t="str">
        <x:v>Netrokona</x:v>
      </x:c>
      <x:c r="C44" s="26" t="n">
        <x:f>COUNTIFS('Institution List'!$B$2:$B$291,B44,'Institution List'!$D$2:$D$291,"University",'Institution List'!$E$2:$E$291,"Public")</x:f>
        <x:v>1</x:v>
      </x:c>
      <x:c r="D44" s="26" t="n">
        <x:f>COUNTIFS('Institution List'!$B$2:$B$291,B44,'Institution List'!$D$2:$D$291,"University",'Institution List'!$E$2:$E$291,"Private")</x:f>
        <x:v>0</x:v>
      </x:c>
      <x:c r="E44" s="26" t="n">
        <x:f>COUNTIFS('Institution List'!$B$2:$B$291,B44,'Institution List'!$D$2:$D$291,"University",'Institution List'!$E$2:$E$291,"International")</x:f>
        <x:v>0</x:v>
      </x:c>
      <x:c r="F44" s="26" t="n">
        <x:f>COUNTIFS('Institution List'!$B$2:$B$291,B44,'Institution List'!$D$2:$D$291,"Medical College",'Institution List'!$E$2:$E$291,"Public")</x:f>
        <x:v>1</x:v>
      </x:c>
      <x:c r="G44" s="26" t="n">
        <x:f>COUNTIFS('Institution List'!$B$2:$B$291,B44,'Institution List'!$D$2:$D$291,"Medical College",'Institution List'!$E$2:$E$291,"Private")</x:f>
        <x:v>0</x:v>
      </x:c>
      <x:c r="H44" s="26" t="n">
        <x:f>COUNTIFS('Institution List'!$B$2:$B$291,B44,'Institution List'!$D$2:$D$291,"Medical College",'Institution List'!$E$2:$E$291,"Military")</x:f>
        <x:v>0</x:v>
      </x:c>
      <x:c r="I44" s="26" t="n">
        <x:f>COUNTIFS('Institution List'!$B$2:$B$291,B44,'Institution List'!$D$2:$D$291,"Medical College",'Institution List'!$E$2:$E$291,"Proposed")</x:f>
        <x:v>0</x:v>
      </x:c>
      <x:c r="J44" s="26" t="n">
        <x:f>SUM(C44:I44)</x:f>
        <x:v>2</x:v>
      </x:c>
    </x:row>
    <x:row r="45">
      <x:c r="A45" s="12" t="str">
        <x:v>Mymensingh</x:v>
      </x:c>
      <x:c r="B45" s="12" t="str">
        <x:v>Sherpur</x:v>
      </x:c>
      <x:c r="C45" s="26" t="n">
        <x:f>COUNTIFS('Institution List'!$B$2:$B$291,B45,'Institution List'!$D$2:$D$291,"University",'Institution List'!$E$2:$E$291,"Public")</x:f>
        <x:v>0</x:v>
      </x:c>
      <x:c r="D45" s="26" t="n">
        <x:f>COUNTIFS('Institution List'!$B$2:$B$291,B45,'Institution List'!$D$2:$D$291,"University",'Institution List'!$E$2:$E$291,"Private")</x:f>
        <x:v>0</x:v>
      </x:c>
      <x:c r="E45" s="26" t="n">
        <x:f>COUNTIFS('Institution List'!$B$2:$B$291,B45,'Institution List'!$D$2:$D$291,"University",'Institution List'!$E$2:$E$291,"International")</x:f>
        <x:v>0</x:v>
      </x:c>
      <x:c r="F45" s="26" t="n">
        <x:f>COUNTIFS('Institution List'!$B$2:$B$291,B45,'Institution List'!$D$2:$D$291,"Medical College",'Institution List'!$E$2:$E$291,"Public")</x:f>
        <x:v>0</x:v>
      </x:c>
      <x:c r="G45" s="26" t="n">
        <x:f>COUNTIFS('Institution List'!$B$2:$B$291,B45,'Institution List'!$D$2:$D$291,"Medical College",'Institution List'!$E$2:$E$291,"Private")</x:f>
        <x:v>0</x:v>
      </x:c>
      <x:c r="H45" s="26" t="n">
        <x:f>COUNTIFS('Institution List'!$B$2:$B$291,B45,'Institution List'!$D$2:$D$291,"Medical College",'Institution List'!$E$2:$E$291,"Military")</x:f>
        <x:v>0</x:v>
      </x:c>
      <x:c r="I45" s="26" t="n">
        <x:f>COUNTIFS('Institution List'!$B$2:$B$291,B45,'Institution List'!$D$2:$D$291,"Medical College",'Institution List'!$E$2:$E$291,"Proposed")</x:f>
        <x:v>0</x:v>
      </x:c>
      <x:c r="J45" s="26" t="n">
        <x:f>SUM(C45:I45)</x:f>
        <x:v>0</x:v>
      </x:c>
    </x:row>
    <x:row r="46">
      <x:c r="A46" s="12" t="str">
        <x:v>Rajshahi</x:v>
      </x:c>
      <x:c r="B46" s="12" t="str">
        <x:v>Bogura</x:v>
      </x:c>
      <x:c r="C46" s="26" t="n">
        <x:f>COUNTIFS('Institution List'!$B$2:$B$291,B46,'Institution List'!$D$2:$D$291,"University",'Institution List'!$E$2:$E$291,"Public")</x:f>
        <x:v>1</x:v>
      </x:c>
      <x:c r="D46" s="26" t="n">
        <x:f>COUNTIFS('Institution List'!$B$2:$B$291,B46,'Institution List'!$D$2:$D$291,"University",'Institution List'!$E$2:$E$291,"Private")</x:f>
        <x:v>1</x:v>
      </x:c>
      <x:c r="E46" s="26" t="n">
        <x:f>COUNTIFS('Institution List'!$B$2:$B$291,B46,'Institution List'!$D$2:$D$291,"University",'Institution List'!$E$2:$E$291,"International")</x:f>
        <x:v>0</x:v>
      </x:c>
      <x:c r="F46" s="26" t="n">
        <x:f>COUNTIFS('Institution List'!$B$2:$B$291,B46,'Institution List'!$D$2:$D$291,"Medical College",'Institution List'!$E$2:$E$291,"Public")</x:f>
        <x:v>1</x:v>
      </x:c>
      <x:c r="G46" s="26" t="n">
        <x:f>COUNTIFS('Institution List'!$B$2:$B$291,B46,'Institution List'!$D$2:$D$291,"Medical College",'Institution List'!$E$2:$E$291,"Private")</x:f>
        <x:v>1</x:v>
      </x:c>
      <x:c r="H46" s="26" t="n">
        <x:f>COUNTIFS('Institution List'!$B$2:$B$291,B46,'Institution List'!$D$2:$D$291,"Medical College",'Institution List'!$E$2:$E$291,"Military")</x:f>
        <x:v>1</x:v>
      </x:c>
      <x:c r="I46" s="26" t="n">
        <x:f>COUNTIFS('Institution List'!$B$2:$B$291,B46,'Institution List'!$D$2:$D$291,"Medical College",'Institution List'!$E$2:$E$291,"Proposed")</x:f>
        <x:v>0</x:v>
      </x:c>
      <x:c r="J46" s="26" t="n">
        <x:f>SUM(C46:I46)</x:f>
        <x:v>5</x:v>
      </x:c>
    </x:row>
    <x:row r="47">
      <x:c r="A47" s="12" t="str">
        <x:v>Rajshahi</x:v>
      </x:c>
      <x:c r="B47" s="12" t="str">
        <x:v>Chapainawabganj</x:v>
      </x:c>
      <x:c r="C47" s="26" t="n">
        <x:f>COUNTIFS('Institution List'!$B$2:$B$291,B47,'Institution List'!$D$2:$D$291,"University",'Institution List'!$E$2:$E$291,"Public")</x:f>
        <x:v>0</x:v>
      </x:c>
      <x:c r="D47" s="26" t="n">
        <x:f>COUNTIFS('Institution List'!$B$2:$B$291,B47,'Institution List'!$D$2:$D$291,"University",'Institution List'!$E$2:$E$291,"Private")</x:f>
        <x:v>1</x:v>
      </x:c>
      <x:c r="E47" s="26" t="n">
        <x:f>COUNTIFS('Institution List'!$B$2:$B$291,B47,'Institution List'!$D$2:$D$291,"University",'Institution List'!$E$2:$E$291,"International")</x:f>
        <x:v>0</x:v>
      </x:c>
      <x:c r="F47" s="26" t="n">
        <x:f>COUNTIFS('Institution List'!$B$2:$B$291,B47,'Institution List'!$D$2:$D$291,"Medical College",'Institution List'!$E$2:$E$291,"Public")</x:f>
        <x:v>0</x:v>
      </x:c>
      <x:c r="G47" s="26" t="n">
        <x:f>COUNTIFS('Institution List'!$B$2:$B$291,B47,'Institution List'!$D$2:$D$291,"Medical College",'Institution List'!$E$2:$E$291,"Private")</x:f>
        <x:v>0</x:v>
      </x:c>
      <x:c r="H47" s="26" t="n">
        <x:f>COUNTIFS('Institution List'!$B$2:$B$291,B47,'Institution List'!$D$2:$D$291,"Medical College",'Institution List'!$E$2:$E$291,"Military")</x:f>
        <x:v>0</x:v>
      </x:c>
      <x:c r="I47" s="26" t="n">
        <x:f>COUNTIFS('Institution List'!$B$2:$B$291,B47,'Institution List'!$D$2:$D$291,"Medical College",'Institution List'!$E$2:$E$291,"Proposed")</x:f>
        <x:v>0</x:v>
      </x:c>
      <x:c r="J47" s="26" t="n">
        <x:f>SUM(C47:I47)</x:f>
        <x:v>1</x:v>
      </x:c>
    </x:row>
    <x:row r="48">
      <x:c r="A48" s="12" t="str">
        <x:v>Rajshahi</x:v>
      </x:c>
      <x:c r="B48" s="12" t="str">
        <x:v>Joypurhat</x:v>
      </x:c>
      <x:c r="C48" s="26" t="n">
        <x:f>COUNTIFS('Institution List'!$B$2:$B$291,B48,'Institution List'!$D$2:$D$291,"University",'Institution List'!$E$2:$E$291,"Public")</x:f>
        <x:v>0</x:v>
      </x:c>
      <x:c r="D48" s="26" t="n">
        <x:f>COUNTIFS('Institution List'!$B$2:$B$291,B48,'Institution List'!$D$2:$D$291,"University",'Institution List'!$E$2:$E$291,"Private")</x:f>
        <x:v>0</x:v>
      </x:c>
      <x:c r="E48" s="26" t="n">
        <x:f>COUNTIFS('Institution List'!$B$2:$B$291,B48,'Institution List'!$D$2:$D$291,"University",'Institution List'!$E$2:$E$291,"International")</x:f>
        <x:v>0</x:v>
      </x:c>
      <x:c r="F48" s="26" t="n">
        <x:f>COUNTIFS('Institution List'!$B$2:$B$291,B48,'Institution List'!$D$2:$D$291,"Medical College",'Institution List'!$E$2:$E$291,"Public")</x:f>
        <x:v>0</x:v>
      </x:c>
      <x:c r="G48" s="26" t="n">
        <x:f>COUNTIFS('Institution List'!$B$2:$B$291,B48,'Institution List'!$D$2:$D$291,"Medical College",'Institution List'!$E$2:$E$291,"Private")</x:f>
        <x:v>0</x:v>
      </x:c>
      <x:c r="H48" s="26" t="n">
        <x:f>COUNTIFS('Institution List'!$B$2:$B$291,B48,'Institution List'!$D$2:$D$291,"Medical College",'Institution List'!$E$2:$E$291,"Military")</x:f>
        <x:v>0</x:v>
      </x:c>
      <x:c r="I48" s="26" t="n">
        <x:f>COUNTIFS('Institution List'!$B$2:$B$291,B48,'Institution List'!$D$2:$D$291,"Medical College",'Institution List'!$E$2:$E$291,"Proposed")</x:f>
        <x:v>0</x:v>
      </x:c>
      <x:c r="J48" s="26" t="n">
        <x:f>SUM(C48:I48)</x:f>
        <x:v>0</x:v>
      </x:c>
    </x:row>
    <x:row r="49">
      <x:c r="A49" s="12" t="str">
        <x:v>Rajshahi</x:v>
      </x:c>
      <x:c r="B49" s="12" t="str">
        <x:v>Naogaon</x:v>
      </x:c>
      <x:c r="C49" s="26" t="n">
        <x:f>COUNTIFS('Institution List'!$B$2:$B$291,B49,'Institution List'!$D$2:$D$291,"University",'Institution List'!$E$2:$E$291,"Public")</x:f>
        <x:v>0</x:v>
      </x:c>
      <x:c r="D49" s="26" t="n">
        <x:f>COUNTIFS('Institution List'!$B$2:$B$291,B49,'Institution List'!$D$2:$D$291,"University",'Institution List'!$E$2:$E$291,"Private")</x:f>
        <x:v>0</x:v>
      </x:c>
      <x:c r="E49" s="26" t="n">
        <x:f>COUNTIFS('Institution List'!$B$2:$B$291,B49,'Institution List'!$D$2:$D$291,"University",'Institution List'!$E$2:$E$291,"International")</x:f>
        <x:v>0</x:v>
      </x:c>
      <x:c r="F49" s="26" t="n">
        <x:f>COUNTIFS('Institution List'!$B$2:$B$291,B49,'Institution List'!$D$2:$D$291,"Medical College",'Institution List'!$E$2:$E$291,"Public")</x:f>
        <x:v>1</x:v>
      </x:c>
      <x:c r="G49" s="26" t="n">
        <x:f>COUNTIFS('Institution List'!$B$2:$B$291,B49,'Institution List'!$D$2:$D$291,"Medical College",'Institution List'!$E$2:$E$291,"Private")</x:f>
        <x:v>0</x:v>
      </x:c>
      <x:c r="H49" s="26" t="n">
        <x:f>COUNTIFS('Institution List'!$B$2:$B$291,B49,'Institution List'!$D$2:$D$291,"Medical College",'Institution List'!$E$2:$E$291,"Military")</x:f>
        <x:v>0</x:v>
      </x:c>
      <x:c r="I49" s="26" t="n">
        <x:f>COUNTIFS('Institution List'!$B$2:$B$291,B49,'Institution List'!$D$2:$D$291,"Medical College",'Institution List'!$E$2:$E$291,"Proposed")</x:f>
        <x:v>0</x:v>
      </x:c>
      <x:c r="J49" s="26" t="n">
        <x:f>SUM(C49:I49)</x:f>
        <x:v>1</x:v>
      </x:c>
    </x:row>
    <x:row r="50">
      <x:c r="A50" s="12" t="str">
        <x:v>Rajshahi</x:v>
      </x:c>
      <x:c r="B50" s="12" t="str">
        <x:v>Natore</x:v>
      </x:c>
      <x:c r="C50" s="26" t="n">
        <x:f>COUNTIFS('Institution List'!$B$2:$B$291,B50,'Institution List'!$D$2:$D$291,"University",'Institution List'!$E$2:$E$291,"Public")</x:f>
        <x:v>0</x:v>
      </x:c>
      <x:c r="D50" s="26" t="n">
        <x:f>COUNTIFS('Institution List'!$B$2:$B$291,B50,'Institution List'!$D$2:$D$291,"University",'Institution List'!$E$2:$E$291,"Private")</x:f>
        <x:v>2</x:v>
      </x:c>
      <x:c r="E50" s="26" t="n">
        <x:f>COUNTIFS('Institution List'!$B$2:$B$291,B50,'Institution List'!$D$2:$D$291,"University",'Institution List'!$E$2:$E$291,"International")</x:f>
        <x:v>0</x:v>
      </x:c>
      <x:c r="F50" s="26" t="n">
        <x:f>COUNTIFS('Institution List'!$B$2:$B$291,B50,'Institution List'!$D$2:$D$291,"Medical College",'Institution List'!$E$2:$E$291,"Public")</x:f>
        <x:v>0</x:v>
      </x:c>
      <x:c r="G50" s="26" t="n">
        <x:f>COUNTIFS('Institution List'!$B$2:$B$291,B50,'Institution List'!$D$2:$D$291,"Medical College",'Institution List'!$E$2:$E$291,"Private")</x:f>
        <x:v>0</x:v>
      </x:c>
      <x:c r="H50" s="26" t="n">
        <x:f>COUNTIFS('Institution List'!$B$2:$B$291,B50,'Institution List'!$D$2:$D$291,"Medical College",'Institution List'!$E$2:$E$291,"Military")</x:f>
        <x:v>0</x:v>
      </x:c>
      <x:c r="I50" s="26" t="n">
        <x:f>COUNTIFS('Institution List'!$B$2:$B$291,B50,'Institution List'!$D$2:$D$291,"Medical College",'Institution List'!$E$2:$E$291,"Proposed")</x:f>
        <x:v>0</x:v>
      </x:c>
      <x:c r="J50" s="26" t="n">
        <x:f>SUM(C50:I50)</x:f>
        <x:v>2</x:v>
      </x:c>
    </x:row>
    <x:row r="51">
      <x:c r="A51" s="12" t="str">
        <x:v>Rajshahi</x:v>
      </x:c>
      <x:c r="B51" s="12" t="str">
        <x:v>Pabna</x:v>
      </x:c>
      <x:c r="C51" s="26" t="n">
        <x:f>COUNTIFS('Institution List'!$B$2:$B$291,B51,'Institution List'!$D$2:$D$291,"University",'Institution List'!$E$2:$E$291,"Public")</x:f>
        <x:v>1</x:v>
      </x:c>
      <x:c r="D51" s="26" t="n">
        <x:f>COUNTIFS('Institution List'!$B$2:$B$291,B51,'Institution List'!$D$2:$D$291,"University",'Institution List'!$E$2:$E$291,"Private")</x:f>
        <x:v>0</x:v>
      </x:c>
      <x:c r="E51" s="26" t="n">
        <x:f>COUNTIFS('Institution List'!$B$2:$B$291,B51,'Institution List'!$D$2:$D$291,"University",'Institution List'!$E$2:$E$291,"International")</x:f>
        <x:v>0</x:v>
      </x:c>
      <x:c r="F51" s="26" t="n">
        <x:f>COUNTIFS('Institution List'!$B$2:$B$291,B51,'Institution List'!$D$2:$D$291,"Medical College",'Institution List'!$E$2:$E$291,"Public")</x:f>
        <x:v>1</x:v>
      </x:c>
      <x:c r="G51" s="26" t="n">
        <x:f>COUNTIFS('Institution List'!$B$2:$B$291,B51,'Institution List'!$D$2:$D$291,"Medical College",'Institution List'!$E$2:$E$291,"Private")</x:f>
        <x:v>0</x:v>
      </x:c>
      <x:c r="H51" s="26" t="n">
        <x:f>COUNTIFS('Institution List'!$B$2:$B$291,B51,'Institution List'!$D$2:$D$291,"Medical College",'Institution List'!$E$2:$E$291,"Military")</x:f>
        <x:v>0</x:v>
      </x:c>
      <x:c r="I51" s="26" t="n">
        <x:f>COUNTIFS('Institution List'!$B$2:$B$291,B51,'Institution List'!$D$2:$D$291,"Medical College",'Institution List'!$E$2:$E$291,"Proposed")</x:f>
        <x:v>0</x:v>
      </x:c>
      <x:c r="J51" s="26" t="n">
        <x:f>SUM(C51:I51)</x:f>
        <x:v>2</x:v>
      </x:c>
    </x:row>
    <x:row r="52">
      <x:c r="A52" s="12" t="str">
        <x:v>Rajshahi</x:v>
      </x:c>
      <x:c r="B52" s="12" t="str">
        <x:v>Rajshahi</x:v>
      </x:c>
      <x:c r="C52" s="26" t="n">
        <x:f>COUNTIFS('Institution List'!$B$2:$B$291,B52,'Institution List'!$D$2:$D$291,"University",'Institution List'!$E$2:$E$291,"Public")</x:f>
        <x:v>3</x:v>
      </x:c>
      <x:c r="D52" s="26" t="n">
        <x:f>COUNTIFS('Institution List'!$B$2:$B$291,B52,'Institution List'!$D$2:$D$291,"University",'Institution List'!$E$2:$E$291,"Private")</x:f>
        <x:v>4</x:v>
      </x:c>
      <x:c r="E52" s="26" t="n">
        <x:f>COUNTIFS('Institution List'!$B$2:$B$291,B52,'Institution List'!$D$2:$D$291,"University",'Institution List'!$E$2:$E$291,"International")</x:f>
        <x:v>0</x:v>
      </x:c>
      <x:c r="F52" s="26" t="n">
        <x:f>COUNTIFS('Institution List'!$B$2:$B$291,B52,'Institution List'!$D$2:$D$291,"Medical College",'Institution List'!$E$2:$E$291,"Public")</x:f>
        <x:v>1</x:v>
      </x:c>
      <x:c r="G52" s="26" t="n">
        <x:f>COUNTIFS('Institution List'!$B$2:$B$291,B52,'Institution List'!$D$2:$D$291,"Medical College",'Institution List'!$E$2:$E$291,"Private")</x:f>
        <x:v>2</x:v>
      </x:c>
      <x:c r="H52" s="26" t="n">
        <x:f>COUNTIFS('Institution List'!$B$2:$B$291,B52,'Institution List'!$D$2:$D$291,"Medical College",'Institution List'!$E$2:$E$291,"Military")</x:f>
        <x:v>0</x:v>
      </x:c>
      <x:c r="I52" s="26" t="n">
        <x:f>COUNTIFS('Institution List'!$B$2:$B$291,B52,'Institution List'!$D$2:$D$291,"Medical College",'Institution List'!$E$2:$E$291,"Proposed")</x:f>
        <x:v>0</x:v>
      </x:c>
      <x:c r="J52" s="26" t="n">
        <x:f>SUM(C52:I52)</x:f>
        <x:v>10</x:v>
      </x:c>
    </x:row>
    <x:row r="53">
      <x:c r="A53" s="12" t="str">
        <x:v>Rajshahi</x:v>
      </x:c>
      <x:c r="B53" s="12" t="str">
        <x:v>Sirajganj</x:v>
      </x:c>
      <x:c r="C53" s="26" t="n">
        <x:f>COUNTIFS('Institution List'!$B$2:$B$291,B53,'Institution List'!$D$2:$D$291,"University",'Institution List'!$E$2:$E$291,"Public")</x:f>
        <x:v>1</x:v>
      </x:c>
      <x:c r="D53" s="26" t="n">
        <x:f>COUNTIFS('Institution List'!$B$2:$B$291,B53,'Institution List'!$D$2:$D$291,"University",'Institution List'!$E$2:$E$291,"Private")</x:f>
        <x:v>1</x:v>
      </x:c>
      <x:c r="E53" s="26" t="n">
        <x:f>COUNTIFS('Institution List'!$B$2:$B$291,B53,'Institution List'!$D$2:$D$291,"University",'Institution List'!$E$2:$E$291,"International")</x:f>
        <x:v>0</x:v>
      </x:c>
      <x:c r="F53" s="26" t="n">
        <x:f>COUNTIFS('Institution List'!$B$2:$B$291,B53,'Institution List'!$D$2:$D$291,"Medical College",'Institution List'!$E$2:$E$291,"Public")</x:f>
        <x:v>1</x:v>
      </x:c>
      <x:c r="G53" s="26" t="n">
        <x:f>COUNTIFS('Institution List'!$B$2:$B$291,B53,'Institution List'!$D$2:$D$291,"Medical College",'Institution List'!$E$2:$E$291,"Private")</x:f>
        <x:v>2</x:v>
      </x:c>
      <x:c r="H53" s="26" t="n">
        <x:f>COUNTIFS('Institution List'!$B$2:$B$291,B53,'Institution List'!$D$2:$D$291,"Medical College",'Institution List'!$E$2:$E$291,"Military")</x:f>
        <x:v>0</x:v>
      </x:c>
      <x:c r="I53" s="26" t="n">
        <x:f>COUNTIFS('Institution List'!$B$2:$B$291,B53,'Institution List'!$D$2:$D$291,"Medical College",'Institution List'!$E$2:$E$291,"Proposed")</x:f>
        <x:v>0</x:v>
      </x:c>
      <x:c r="J53" s="26" t="n">
        <x:f>SUM(C53:I53)</x:f>
        <x:v>5</x:v>
      </x:c>
    </x:row>
    <x:row r="54">
      <x:c r="A54" s="12" t="str">
        <x:v>Rangpur</x:v>
      </x:c>
      <x:c r="B54" s="12" t="str">
        <x:v>Dinajpur</x:v>
      </x:c>
      <x:c r="C54" s="26" t="n">
        <x:f>COUNTIFS('Institution List'!$B$2:$B$291,B54,'Institution List'!$D$2:$D$291,"University",'Institution List'!$E$2:$E$291,"Public")</x:f>
        <x:v>1</x:v>
      </x:c>
      <x:c r="D54" s="26" t="n">
        <x:f>COUNTIFS('Institution List'!$B$2:$B$291,B54,'Institution List'!$D$2:$D$291,"University",'Institution List'!$E$2:$E$291,"Private")</x:f>
        <x:v>0</x:v>
      </x:c>
      <x:c r="E54" s="26" t="n">
        <x:f>COUNTIFS('Institution List'!$B$2:$B$291,B54,'Institution List'!$D$2:$D$291,"University",'Institution List'!$E$2:$E$291,"International")</x:f>
        <x:v>0</x:v>
      </x:c>
      <x:c r="F54" s="26" t="n">
        <x:f>COUNTIFS('Institution List'!$B$2:$B$291,B54,'Institution List'!$D$2:$D$291,"Medical College",'Institution List'!$E$2:$E$291,"Public")</x:f>
        <x:v>1</x:v>
      </x:c>
      <x:c r="G54" s="26" t="n">
        <x:f>COUNTIFS('Institution List'!$B$2:$B$291,B54,'Institution List'!$D$2:$D$291,"Medical College",'Institution List'!$E$2:$E$291,"Private")</x:f>
        <x:v>0</x:v>
      </x:c>
      <x:c r="H54" s="26" t="n">
        <x:f>COUNTIFS('Institution List'!$B$2:$B$291,B54,'Institution List'!$D$2:$D$291,"Medical College",'Institution List'!$E$2:$E$291,"Military")</x:f>
        <x:v>0</x:v>
      </x:c>
      <x:c r="I54" s="26" t="n">
        <x:f>COUNTIFS('Institution List'!$B$2:$B$291,B54,'Institution List'!$D$2:$D$291,"Medical College",'Institution List'!$E$2:$E$291,"Proposed")</x:f>
        <x:v>0</x:v>
      </x:c>
      <x:c r="J54" s="26" t="n">
        <x:f>SUM(C54:I54)</x:f>
        <x:v>2</x:v>
      </x:c>
    </x:row>
    <x:row r="55">
      <x:c r="A55" s="12" t="str">
        <x:v>Rangpur</x:v>
      </x:c>
      <x:c r="B55" s="12" t="str">
        <x:v>Gaibandha</x:v>
      </x:c>
      <x:c r="C55" s="26" t="n">
        <x:f>COUNTIFS('Institution List'!$B$2:$B$291,B55,'Institution List'!$D$2:$D$291,"University",'Institution List'!$E$2:$E$291,"Public")</x:f>
        <x:v>0</x:v>
      </x:c>
      <x:c r="D55" s="26" t="n">
        <x:f>COUNTIFS('Institution List'!$B$2:$B$291,B55,'Institution List'!$D$2:$D$291,"University",'Institution List'!$E$2:$E$291,"Private")</x:f>
        <x:v>0</x:v>
      </x:c>
      <x:c r="E55" s="26" t="n">
        <x:f>COUNTIFS('Institution List'!$B$2:$B$291,B55,'Institution List'!$D$2:$D$291,"University",'Institution List'!$E$2:$E$291,"International")</x:f>
        <x:v>0</x:v>
      </x:c>
      <x:c r="F55" s="26" t="n">
        <x:f>COUNTIFS('Institution List'!$B$2:$B$291,B55,'Institution List'!$D$2:$D$291,"Medical College",'Institution List'!$E$2:$E$291,"Public")</x:f>
        <x:v>0</x:v>
      </x:c>
      <x:c r="G55" s="26" t="n">
        <x:f>COUNTIFS('Institution List'!$B$2:$B$291,B55,'Institution List'!$D$2:$D$291,"Medical College",'Institution List'!$E$2:$E$291,"Private")</x:f>
        <x:v>0</x:v>
      </x:c>
      <x:c r="H55" s="26" t="n">
        <x:f>COUNTIFS('Institution List'!$B$2:$B$291,B55,'Institution List'!$D$2:$D$291,"Medical College",'Institution List'!$E$2:$E$291,"Military")</x:f>
        <x:v>0</x:v>
      </x:c>
      <x:c r="I55" s="26" t="n">
        <x:f>COUNTIFS('Institution List'!$B$2:$B$291,B55,'Institution List'!$D$2:$D$291,"Medical College",'Institution List'!$E$2:$E$291,"Proposed")</x:f>
        <x:v>0</x:v>
      </x:c>
      <x:c r="J55" s="26" t="n">
        <x:f>SUM(C55:I55)</x:f>
        <x:v>0</x:v>
      </x:c>
    </x:row>
    <x:row r="56">
      <x:c r="A56" s="12" t="str">
        <x:v>Rangpur</x:v>
      </x:c>
      <x:c r="B56" s="12" t="str">
        <x:v>Kurigram</x:v>
      </x:c>
      <x:c r="C56" s="26" t="n">
        <x:f>COUNTIFS('Institution List'!$B$2:$B$291,B56,'Institution List'!$D$2:$D$291,"University",'Institution List'!$E$2:$E$291,"Public")</x:f>
        <x:v>1</x:v>
      </x:c>
      <x:c r="D56" s="26" t="n">
        <x:f>COUNTIFS('Institution List'!$B$2:$B$291,B56,'Institution List'!$D$2:$D$291,"University",'Institution List'!$E$2:$E$291,"Private")</x:f>
        <x:v>0</x:v>
      </x:c>
      <x:c r="E56" s="26" t="n">
        <x:f>COUNTIFS('Institution List'!$B$2:$B$291,B56,'Institution List'!$D$2:$D$291,"University",'Institution List'!$E$2:$E$291,"International")</x:f>
        <x:v>0</x:v>
      </x:c>
      <x:c r="F56" s="26" t="n">
        <x:f>COUNTIFS('Institution List'!$B$2:$B$291,B56,'Institution List'!$D$2:$D$291,"Medical College",'Institution List'!$E$2:$E$291,"Public")</x:f>
        <x:v>0</x:v>
      </x:c>
      <x:c r="G56" s="26" t="n">
        <x:f>COUNTIFS('Institution List'!$B$2:$B$291,B56,'Institution List'!$D$2:$D$291,"Medical College",'Institution List'!$E$2:$E$291,"Private")</x:f>
        <x:v>0</x:v>
      </x:c>
      <x:c r="H56" s="26" t="n">
        <x:f>COUNTIFS('Institution List'!$B$2:$B$291,B56,'Institution List'!$D$2:$D$291,"Medical College",'Institution List'!$E$2:$E$291,"Military")</x:f>
        <x:v>0</x:v>
      </x:c>
      <x:c r="I56" s="26" t="n">
        <x:f>COUNTIFS('Institution List'!$B$2:$B$291,B56,'Institution List'!$D$2:$D$291,"Medical College",'Institution List'!$E$2:$E$291,"Proposed")</x:f>
        <x:v>0</x:v>
      </x:c>
      <x:c r="J56" s="26" t="n">
        <x:f>SUM(C56:I56)</x:f>
        <x:v>1</x:v>
      </x:c>
    </x:row>
    <x:row r="57">
      <x:c r="A57" s="12" t="str">
        <x:v>Rangpur</x:v>
      </x:c>
      <x:c r="B57" s="12" t="str">
        <x:v>Lalmonirhat</x:v>
      </x:c>
      <x:c r="C57" s="26" t="n">
        <x:f>COUNTIFS('Institution List'!$B$2:$B$291,B57,'Institution List'!$D$2:$D$291,"University",'Institution List'!$E$2:$E$291,"Public")</x:f>
        <x:v>1</x:v>
      </x:c>
      <x:c r="D57" s="26" t="n">
        <x:f>COUNTIFS('Institution List'!$B$2:$B$291,B57,'Institution List'!$D$2:$D$291,"University",'Institution List'!$E$2:$E$291,"Private")</x:f>
        <x:v>0</x:v>
      </x:c>
      <x:c r="E57" s="26" t="n">
        <x:f>COUNTIFS('Institution List'!$B$2:$B$291,B57,'Institution List'!$D$2:$D$291,"University",'Institution List'!$E$2:$E$291,"International")</x:f>
        <x:v>0</x:v>
      </x:c>
      <x:c r="F57" s="26" t="n">
        <x:f>COUNTIFS('Institution List'!$B$2:$B$291,B57,'Institution List'!$D$2:$D$291,"Medical College",'Institution List'!$E$2:$E$291,"Public")</x:f>
        <x:v>0</x:v>
      </x:c>
      <x:c r="G57" s="26" t="n">
        <x:f>COUNTIFS('Institution List'!$B$2:$B$291,B57,'Institution List'!$D$2:$D$291,"Medical College",'Institution List'!$E$2:$E$291,"Private")</x:f>
        <x:v>0</x:v>
      </x:c>
      <x:c r="H57" s="26" t="n">
        <x:f>COUNTIFS('Institution List'!$B$2:$B$291,B57,'Institution List'!$D$2:$D$291,"Medical College",'Institution List'!$E$2:$E$291,"Military")</x:f>
        <x:v>0</x:v>
      </x:c>
      <x:c r="I57" s="26" t="n">
        <x:f>COUNTIFS('Institution List'!$B$2:$B$291,B57,'Institution List'!$D$2:$D$291,"Medical College",'Institution List'!$E$2:$E$291,"Proposed")</x:f>
        <x:v>0</x:v>
      </x:c>
      <x:c r="J57" s="26" t="n">
        <x:f>SUM(C57:I57)</x:f>
        <x:v>1</x:v>
      </x:c>
    </x:row>
    <x:row r="58">
      <x:c r="A58" s="12" t="str">
        <x:v>Rangpur</x:v>
      </x:c>
      <x:c r="B58" s="12" t="str">
        <x:v>Nilphamari</x:v>
      </x:c>
      <x:c r="C58" s="26" t="n">
        <x:f>COUNTIFS('Institution List'!$B$2:$B$291,B58,'Institution List'!$D$2:$D$291,"University",'Institution List'!$E$2:$E$291,"Public")</x:f>
        <x:v>0</x:v>
      </x:c>
      <x:c r="D58" s="26" t="n">
        <x:f>COUNTIFS('Institution List'!$B$2:$B$291,B58,'Institution List'!$D$2:$D$291,"University",'Institution List'!$E$2:$E$291,"Private")</x:f>
        <x:v>1</x:v>
      </x:c>
      <x:c r="E58" s="26" t="n">
        <x:f>COUNTIFS('Institution List'!$B$2:$B$291,B58,'Institution List'!$D$2:$D$291,"University",'Institution List'!$E$2:$E$291,"International")</x:f>
        <x:v>0</x:v>
      </x:c>
      <x:c r="F58" s="26" t="n">
        <x:f>COUNTIFS('Institution List'!$B$2:$B$291,B58,'Institution List'!$D$2:$D$291,"Medical College",'Institution List'!$E$2:$E$291,"Public")</x:f>
        <x:v>1</x:v>
      </x:c>
      <x:c r="G58" s="26" t="n">
        <x:f>COUNTIFS('Institution List'!$B$2:$B$291,B58,'Institution List'!$D$2:$D$291,"Medical College",'Institution List'!$E$2:$E$291,"Private")</x:f>
        <x:v>0</x:v>
      </x:c>
      <x:c r="H58" s="26" t="n">
        <x:f>COUNTIFS('Institution List'!$B$2:$B$291,B58,'Institution List'!$D$2:$D$291,"Medical College",'Institution List'!$E$2:$E$291,"Military")</x:f>
        <x:v>0</x:v>
      </x:c>
      <x:c r="I58" s="26" t="n">
        <x:f>COUNTIFS('Institution List'!$B$2:$B$291,B58,'Institution List'!$D$2:$D$291,"Medical College",'Institution List'!$E$2:$E$291,"Proposed")</x:f>
        <x:v>0</x:v>
      </x:c>
      <x:c r="J58" s="26" t="n">
        <x:f>SUM(C58:I58)</x:f>
        <x:v>2</x:v>
      </x:c>
    </x:row>
    <x:row r="59">
      <x:c r="A59" s="12" t="str">
        <x:v>Rangpur</x:v>
      </x:c>
      <x:c r="B59" s="12" t="str">
        <x:v>Panchagarh</x:v>
      </x:c>
      <x:c r="C59" s="26" t="n">
        <x:f>COUNTIFS('Institution List'!$B$2:$B$291,B59,'Institution List'!$D$2:$D$291,"University",'Institution List'!$E$2:$E$291,"Public")</x:f>
        <x:v>0</x:v>
      </x:c>
      <x:c r="D59" s="26" t="n">
        <x:f>COUNTIFS('Institution List'!$B$2:$B$291,B59,'Institution List'!$D$2:$D$291,"University",'Institution List'!$E$2:$E$291,"Private")</x:f>
        <x:v>0</x:v>
      </x:c>
      <x:c r="E59" s="26" t="n">
        <x:f>COUNTIFS('Institution List'!$B$2:$B$291,B59,'Institution List'!$D$2:$D$291,"University",'Institution List'!$E$2:$E$291,"International")</x:f>
        <x:v>0</x:v>
      </x:c>
      <x:c r="F59" s="26" t="n">
        <x:f>COUNTIFS('Institution List'!$B$2:$B$291,B59,'Institution List'!$D$2:$D$291,"Medical College",'Institution List'!$E$2:$E$291,"Public")</x:f>
        <x:v>0</x:v>
      </x:c>
      <x:c r="G59" s="26" t="n">
        <x:f>COUNTIFS('Institution List'!$B$2:$B$291,B59,'Institution List'!$D$2:$D$291,"Medical College",'Institution List'!$E$2:$E$291,"Private")</x:f>
        <x:v>0</x:v>
      </x:c>
      <x:c r="H59" s="26" t="n">
        <x:f>COUNTIFS('Institution List'!$B$2:$B$291,B59,'Institution List'!$D$2:$D$291,"Medical College",'Institution List'!$E$2:$E$291,"Military")</x:f>
        <x:v>0</x:v>
      </x:c>
      <x:c r="I59" s="26" t="n">
        <x:f>COUNTIFS('Institution List'!$B$2:$B$291,B59,'Institution List'!$D$2:$D$291,"Medical College",'Institution List'!$E$2:$E$291,"Proposed")</x:f>
        <x:v>0</x:v>
      </x:c>
      <x:c r="J59" s="26" t="n">
        <x:f>SUM(C59:I59)</x:f>
        <x:v>0</x:v>
      </x:c>
    </x:row>
    <x:row r="60">
      <x:c r="A60" s="12" t="str">
        <x:v>Rangpur</x:v>
      </x:c>
      <x:c r="B60" s="12" t="str">
        <x:v>Rangpur</x:v>
      </x:c>
      <x:c r="C60" s="26" t="n">
        <x:f>COUNTIFS('Institution List'!$B$2:$B$291,B60,'Institution List'!$D$2:$D$291,"University",'Institution List'!$E$2:$E$291,"Public")</x:f>
        <x:v>1</x:v>
      </x:c>
      <x:c r="D60" s="26" t="n">
        <x:f>COUNTIFS('Institution List'!$B$2:$B$291,B60,'Institution List'!$D$2:$D$291,"University",'Institution List'!$E$2:$E$291,"Private")</x:f>
        <x:v>1</x:v>
      </x:c>
      <x:c r="E60" s="26" t="n">
        <x:f>COUNTIFS('Institution List'!$B$2:$B$291,B60,'Institution List'!$D$2:$D$291,"University",'Institution List'!$E$2:$E$291,"International")</x:f>
        <x:v>0</x:v>
      </x:c>
      <x:c r="F60" s="26" t="n">
        <x:f>COUNTIFS('Institution List'!$B$2:$B$291,B60,'Institution List'!$D$2:$D$291,"Medical College",'Institution List'!$E$2:$E$291,"Public")</x:f>
        <x:v>1</x:v>
      </x:c>
      <x:c r="G60" s="26" t="n">
        <x:f>COUNTIFS('Institution List'!$B$2:$B$291,B60,'Institution List'!$D$2:$D$291,"Medical College",'Institution List'!$E$2:$E$291,"Private")</x:f>
        <x:v>2</x:v>
      </x:c>
      <x:c r="H60" s="26" t="n">
        <x:f>COUNTIFS('Institution List'!$B$2:$B$291,B60,'Institution List'!$D$2:$D$291,"Medical College",'Institution List'!$E$2:$E$291,"Military")</x:f>
        <x:v>1</x:v>
      </x:c>
      <x:c r="I60" s="26" t="n">
        <x:f>COUNTIFS('Institution List'!$B$2:$B$291,B60,'Institution List'!$D$2:$D$291,"Medical College",'Institution List'!$E$2:$E$291,"Proposed")</x:f>
        <x:v>0</x:v>
      </x:c>
      <x:c r="J60" s="26" t="n">
        <x:f>SUM(C60:I60)</x:f>
        <x:v>6</x:v>
      </x:c>
    </x:row>
    <x:row r="61">
      <x:c r="A61" s="12" t="str">
        <x:v>Rangpur</x:v>
      </x:c>
      <x:c r="B61" s="12" t="str">
        <x:v>Thakurgaon</x:v>
      </x:c>
      <x:c r="C61" s="26" t="n">
        <x:f>COUNTIFS('Institution List'!$B$2:$B$291,B61,'Institution List'!$D$2:$D$291,"University",'Institution List'!$E$2:$E$291,"Public")</x:f>
        <x:v>1</x:v>
      </x:c>
      <x:c r="D61" s="26" t="n">
        <x:f>COUNTIFS('Institution List'!$B$2:$B$291,B61,'Institution List'!$D$2:$D$291,"University",'Institution List'!$E$2:$E$291,"Private")</x:f>
        <x:v>0</x:v>
      </x:c>
      <x:c r="E61" s="26" t="n">
        <x:f>COUNTIFS('Institution List'!$B$2:$B$291,B61,'Institution List'!$D$2:$D$291,"University",'Institution List'!$E$2:$E$291,"International")</x:f>
        <x:v>0</x:v>
      </x:c>
      <x:c r="F61" s="26" t="n">
        <x:f>COUNTIFS('Institution List'!$B$2:$B$291,B61,'Institution List'!$D$2:$D$291,"Medical College",'Institution List'!$E$2:$E$291,"Public")</x:f>
        <x:v>0</x:v>
      </x:c>
      <x:c r="G61" s="26" t="n">
        <x:f>COUNTIFS('Institution List'!$B$2:$B$291,B61,'Institution List'!$D$2:$D$291,"Medical College",'Institution List'!$E$2:$E$291,"Private")</x:f>
        <x:v>0</x:v>
      </x:c>
      <x:c r="H61" s="26" t="n">
        <x:f>COUNTIFS('Institution List'!$B$2:$B$291,B61,'Institution List'!$D$2:$D$291,"Medical College",'Institution List'!$E$2:$E$291,"Military")</x:f>
        <x:v>0</x:v>
      </x:c>
      <x:c r="I61" s="26" t="n">
        <x:f>COUNTIFS('Institution List'!$B$2:$B$291,B61,'Institution List'!$D$2:$D$291,"Medical College",'Institution List'!$E$2:$E$291,"Proposed")</x:f>
        <x:v>1</x:v>
      </x:c>
      <x:c r="J61" s="26" t="n">
        <x:f>SUM(C61:I61)</x:f>
        <x:v>2</x:v>
      </x:c>
    </x:row>
    <x:row r="62">
      <x:c r="A62" s="12" t="str">
        <x:v>Sylhet</x:v>
      </x:c>
      <x:c r="B62" s="12" t="str">
        <x:v>Habiganj</x:v>
      </x:c>
      <x:c r="C62" s="26" t="n">
        <x:f>COUNTIFS('Institution List'!$B$2:$B$291,B62,'Institution List'!$D$2:$D$291,"University",'Institution List'!$E$2:$E$291,"Public")</x:f>
        <x:v>1</x:v>
      </x:c>
      <x:c r="D62" s="26" t="n">
        <x:f>COUNTIFS('Institution List'!$B$2:$B$291,B62,'Institution List'!$D$2:$D$291,"University",'Institution List'!$E$2:$E$291,"Private")</x:f>
        <x:v>0</x:v>
      </x:c>
      <x:c r="E62" s="26" t="n">
        <x:f>COUNTIFS('Institution List'!$B$2:$B$291,B62,'Institution List'!$D$2:$D$291,"University",'Institution List'!$E$2:$E$291,"International")</x:f>
        <x:v>0</x:v>
      </x:c>
      <x:c r="F62" s="26" t="n">
        <x:f>COUNTIFS('Institution List'!$B$2:$B$291,B62,'Institution List'!$D$2:$D$291,"Medical College",'Institution List'!$E$2:$E$291,"Public")</x:f>
        <x:v>1</x:v>
      </x:c>
      <x:c r="G62" s="26" t="n">
        <x:f>COUNTIFS('Institution List'!$B$2:$B$291,B62,'Institution List'!$D$2:$D$291,"Medical College",'Institution List'!$E$2:$E$291,"Private")</x:f>
        <x:v>0</x:v>
      </x:c>
      <x:c r="H62" s="26" t="n">
        <x:f>COUNTIFS('Institution List'!$B$2:$B$291,B62,'Institution List'!$D$2:$D$291,"Medical College",'Institution List'!$E$2:$E$291,"Military")</x:f>
        <x:v>0</x:v>
      </x:c>
      <x:c r="I62" s="26" t="n">
        <x:f>COUNTIFS('Institution List'!$B$2:$B$291,B62,'Institution List'!$D$2:$D$291,"Medical College",'Institution List'!$E$2:$E$291,"Proposed")</x:f>
        <x:v>0</x:v>
      </x:c>
      <x:c r="J62" s="26" t="n">
        <x:f>SUM(C62:I62)</x:f>
        <x:v>2</x:v>
      </x:c>
    </x:row>
    <x:row r="63">
      <x:c r="A63" s="12" t="str">
        <x:v>Sylhet</x:v>
      </x:c>
      <x:c r="B63" s="12" t="str">
        <x:v>Moulvibazar</x:v>
      </x:c>
      <x:c r="C63" s="26" t="n">
        <x:f>COUNTIFS('Institution List'!$B$2:$B$291,B63,'Institution List'!$D$2:$D$291,"University",'Institution List'!$E$2:$E$291,"Public")</x:f>
        <x:v>0</x:v>
      </x:c>
      <x:c r="D63" s="26" t="n">
        <x:f>COUNTIFS('Institution List'!$B$2:$B$291,B63,'Institution List'!$D$2:$D$291,"University",'Institution List'!$E$2:$E$291,"Private")</x:f>
        <x:v>0</x:v>
      </x:c>
      <x:c r="E63" s="26" t="n">
        <x:f>COUNTIFS('Institution List'!$B$2:$B$291,B63,'Institution List'!$D$2:$D$291,"University",'Institution List'!$E$2:$E$291,"International")</x:f>
        <x:v>0</x:v>
      </x:c>
      <x:c r="F63" s="26" t="n">
        <x:f>COUNTIFS('Institution List'!$B$2:$B$291,B63,'Institution List'!$D$2:$D$291,"Medical College",'Institution List'!$E$2:$E$291,"Public")</x:f>
        <x:v>0</x:v>
      </x:c>
      <x:c r="G63" s="26" t="n">
        <x:f>COUNTIFS('Institution List'!$B$2:$B$291,B63,'Institution List'!$D$2:$D$291,"Medical College",'Institution List'!$E$2:$E$291,"Private")</x:f>
        <x:v>0</x:v>
      </x:c>
      <x:c r="H63" s="26" t="n">
        <x:f>COUNTIFS('Institution List'!$B$2:$B$291,B63,'Institution List'!$D$2:$D$291,"Medical College",'Institution List'!$E$2:$E$291,"Military")</x:f>
        <x:v>0</x:v>
      </x:c>
      <x:c r="I63" s="26" t="n">
        <x:f>COUNTIFS('Institution List'!$B$2:$B$291,B63,'Institution List'!$D$2:$D$291,"Medical College",'Institution List'!$E$2:$E$291,"Proposed")</x:f>
        <x:v>0</x:v>
      </x:c>
      <x:c r="J63" s="26" t="n">
        <x:f>SUM(C63:I63)</x:f>
        <x:v>0</x:v>
      </x:c>
    </x:row>
    <x:row r="64">
      <x:c r="A64" s="12" t="str">
        <x:v>Sylhet</x:v>
      </x:c>
      <x:c r="B64" s="12" t="str">
        <x:v>Sunamganj</x:v>
      </x:c>
      <x:c r="C64" s="26" t="n">
        <x:f>COUNTIFS('Institution List'!$B$2:$B$291,B64,'Institution List'!$D$2:$D$291,"University",'Institution List'!$E$2:$E$291,"Public")</x:f>
        <x:v>1</x:v>
      </x:c>
      <x:c r="D64" s="26" t="n">
        <x:f>COUNTIFS('Institution List'!$B$2:$B$291,B64,'Institution List'!$D$2:$D$291,"University",'Institution List'!$E$2:$E$291,"Private")</x:f>
        <x:v>0</x:v>
      </x:c>
      <x:c r="E64" s="26" t="n">
        <x:f>COUNTIFS('Institution List'!$B$2:$B$291,B64,'Institution List'!$D$2:$D$291,"University",'Institution List'!$E$2:$E$291,"International")</x:f>
        <x:v>0</x:v>
      </x:c>
      <x:c r="F64" s="26" t="n">
        <x:f>COUNTIFS('Institution List'!$B$2:$B$291,B64,'Institution List'!$D$2:$D$291,"Medical College",'Institution List'!$E$2:$E$291,"Public")</x:f>
        <x:v>1</x:v>
      </x:c>
      <x:c r="G64" s="26" t="n">
        <x:f>COUNTIFS('Institution List'!$B$2:$B$291,B64,'Institution List'!$D$2:$D$291,"Medical College",'Institution List'!$E$2:$E$291,"Private")</x:f>
        <x:v>0</x:v>
      </x:c>
      <x:c r="H64" s="26" t="n">
        <x:f>COUNTIFS('Institution List'!$B$2:$B$291,B64,'Institution List'!$D$2:$D$291,"Medical College",'Institution List'!$E$2:$E$291,"Military")</x:f>
        <x:v>0</x:v>
      </x:c>
      <x:c r="I64" s="26" t="n">
        <x:f>COUNTIFS('Institution List'!$B$2:$B$291,B64,'Institution List'!$D$2:$D$291,"Medical College",'Institution List'!$E$2:$E$291,"Proposed")</x:f>
        <x:v>0</x:v>
      </x:c>
      <x:c r="J64" s="26" t="n">
        <x:f>SUM(C64:I64)</x:f>
        <x:v>2</x:v>
      </x:c>
    </x:row>
    <x:row r="65">
      <x:c r="A65" s="12" t="str">
        <x:v>Sylhet</x:v>
      </x:c>
      <x:c r="B65" s="12" t="str">
        <x:v>Sylhet</x:v>
      </x:c>
      <x:c r="C65" s="26" t="n">
        <x:f>COUNTIFS('Institution List'!$B$2:$B$291,B65,'Institution List'!$D$2:$D$291,"University",'Institution List'!$E$2:$E$291,"Public")</x:f>
        <x:v>3</x:v>
      </x:c>
      <x:c r="D65" s="26" t="n">
        <x:f>COUNTIFS('Institution List'!$B$2:$B$291,B65,'Institution List'!$D$2:$D$291,"University",'Institution List'!$E$2:$E$291,"Private")</x:f>
        <x:v>5</x:v>
      </x:c>
      <x:c r="E65" s="26" t="n">
        <x:f>COUNTIFS('Institution List'!$B$2:$B$291,B65,'Institution List'!$D$2:$D$291,"University",'Institution List'!$E$2:$E$291,"International")</x:f>
        <x:v>0</x:v>
      </x:c>
      <x:c r="F65" s="26" t="n">
        <x:f>COUNTIFS('Institution List'!$B$2:$B$291,B65,'Institution List'!$D$2:$D$291,"Medical College",'Institution List'!$E$2:$E$291,"Public")</x:f>
        <x:v>1</x:v>
      </x:c>
      <x:c r="G65" s="26" t="n">
        <x:f>COUNTIFS('Institution List'!$B$2:$B$291,B65,'Institution List'!$D$2:$D$291,"Medical College",'Institution List'!$E$2:$E$291,"Private")</x:f>
        <x:v>4</x:v>
      </x:c>
      <x:c r="H65" s="26" t="n">
        <x:f>COUNTIFS('Institution List'!$B$2:$B$291,B65,'Institution List'!$D$2:$D$291,"Medical College",'Institution List'!$E$2:$E$291,"Military")</x:f>
        <x:v>0</x:v>
      </x:c>
      <x:c r="I65" s="26" t="n">
        <x:f>COUNTIFS('Institution List'!$B$2:$B$291,B65,'Institution List'!$D$2:$D$291,"Medical College",'Institution List'!$E$2:$E$291,"Proposed")</x:f>
        <x:v>0</x:v>
      </x:c>
      <x:c r="J65" s="26" t="n">
        <x:f>SUM(C65:I65)</x:f>
        <x:v>13</x:v>
      </x:c>
    </x:row>
    <x:row r="66">
      <x:c r="A66" s="20" t="str">
        <x:v>TOTAL</x:v>
      </x:c>
      <x:c r="B66" s="20" t="str">
        <x:v>All districts</x:v>
      </x:c>
      <x:c r="C66" s="20" t="n">
        <x:f>SUM(C2:C65)</x:f>
        <x:v>62</x:v>
      </x:c>
      <x:c r="D66" s="20" t="n">
        <x:f>SUM(D2:D65)</x:f>
        <x:v>113</x:v>
      </x:c>
      <x:c r="E66" s="20" t="n">
        <x:f>SUM(E2:E65)</x:f>
        <x:v>2</x:v>
      </x:c>
      <x:c r="F66" s="20" t="n">
        <x:f>SUM(F2:F65)</x:f>
        <x:v>37</x:v>
      </x:c>
      <x:c r="G66" s="20" t="n">
        <x:f>SUM(G2:G65)</x:f>
        <x:v>68</x:v>
      </x:c>
      <x:c r="H66" s="20" t="n">
        <x:f>SUM(H2:H65)</x:f>
        <x:v>7</x:v>
      </x:c>
      <x:c r="I66" s="20" t="n">
        <x:f>SUM(I2:I65)</x:f>
        <x:v>1</x:v>
      </x:c>
      <x:c r="J66" s="20" t="n">
        <x:f>SUM(J2:J65)</x:f>
        <x:v>290</x:v>
      </x:c>
    </x:row>
  </x:sheetData>
  <x:conditionalFormatting sqref="J2:J65">
    <x:cfRule type="dataBar" priority="1">
      <x:dataBar>
        <x:cfvo type="min"/>
        <x:cfvo type="max"/>
        <x:color rgb="22C55E"/>
      </x:dataBar>
      <x:extLst>
        <x:ext xmlns:x14="http://schemas.microsoft.com/office/spreadsheetml/2009/9/main" uri="{B025F937-C7B1-47D3-B67F-A62EFF666E3E}">
          <x14:id>{8213237C-262D-8CED-9257-E0A72B4BD1FC}</x14:id>
        </x:ext>
      </x:extLst>
    </x:cfRule>
  </x:conditionalFormatting>
  <x:pageMargins left="0.7" right="0.7" top="0.75" bottom="0.75" header="0.3" footer="0.3"/>
  <x:tableParts count="1">
    <x:tablePart xmlns:r="http://schemas.openxmlformats.org/officeDocument/2006/relationships" r:id="Rfe76e59459cd467c"/>
  </x:tableParts>
  <x:extLst>
    <x:ext xmlns:x14="http://schemas.microsoft.com/office/spreadsheetml/2009/9/main" xmlns:xm="http://schemas.microsoft.com/office/excel/2006/main" uri="{78C0D931-6437-407d-A8EE-F0AAD7539E65}">
      <x14:conditionalFormattings>
        <x14:conditionalFormatting>
          <x14:cfRule type="dataBar" priority="1" id="{8213237C-262D-8CED-9257-E0A72B4BD1FC}">
            <x14:dataBar gradient="1">
              <x14:cfvo type="min"/>
              <x14:cfvo type="max"/>
              <x14:fillColor rgb="22C55E"/>
            </x14:dataBar>
          </x14:cfRule>
          <xm:sqref>J2:J65</xm:sqref>
        </x14:conditionalFormatting>
      </x14:conditionalFormattings>
    </x:ext>
  </x:extLst>
</x:worksheet>
</file>

<file path=xl/worksheets/sheet4.xml><?xml version="1.0" encoding="utf-8"?>
<x:worksheet xmlns:x="http://schemas.openxmlformats.org/spreadsheetml/2006/main">
  <x:sheetFormatPr defaultRowHeight="15"/>
  <x:cols>
    <x:col min="1" max="1" width="24" hidden="0" customWidth="1"/>
    <x:col min="2" max="2" width="75" hidden="0" customWidth="1"/>
    <x:col min="3" max="3" width="65" hidden="0" customWidth="1"/>
  </x:cols>
  <x:sheetData>
    <x:row r="1">
      <x:c r="A1" s="6" t="str">
        <x:v>Item</x:v>
      </x:c>
      <x:c r="B1" s="6" t="str">
        <x:v>Detail</x:v>
      </x:c>
      <x:c r="C1" s="6" t="str">
        <x:v>URL</x:v>
      </x:c>
    </x:row>
    <x:row r="2">
      <x:c r="A2" s="14" t="str">
        <x:v>Prepared on</x:v>
      </x:c>
      <x:c r="B2" s="14" t="str">
        <x:v>2026-06-14 09:22</x:v>
      </x:c>
      <x:c r="C2" s="14" t="str"/>
    </x:row>
    <x:row r="3">
      <x:c r="A3" s="14" t="str">
        <x:v>Scope</x:v>
      </x:c>
      <x:c r="B3" s="14" t="str">
        <x:v>District-wise list of public/private universities and public/private/military/proposed medical colleges in Bangladesh.</x:v>
      </x:c>
      <x:c r="C3" s="14" t="str"/>
    </x:row>
    <x:row r="4">
      <x:c r="A4" s="14" t="str">
        <x:v>Official university source</x:v>
      </x:c>
      <x:c r="B4" s="14" t="str">
        <x:v>University Grants Commission of Bangladesh public/private/international university lists.</x:v>
      </x:c>
      <x:c r="C4" s="14" t="str">
        <x:v>https://www.ugc-universities.gov.bd/</x:v>
      </x:c>
    </x:row>
    <x:row r="5">
      <x:c r="A5" s="14" t="str">
        <x:v>Official private university list</x:v>
      </x:c>
      <x:c r="B5" s="14" t="str">
        <x:v>UGC List of Private Universities.</x:v>
      </x:c>
      <x:c r="C5" s="14" t="str">
        <x:v>https://www.ugc-universities.gov.bd/private-universities</x:v>
      </x:c>
    </x:row>
    <x:row r="6">
      <x:c r="A6" s="14" t="str">
        <x:v>Official international university list</x:v>
      </x:c>
      <x:c r="B6" s="14" t="str">
        <x:v>UGC List of International Universities.</x:v>
      </x:c>
      <x:c r="C6" s="14" t="str">
        <x:v>https://www.ugc-universities.gov.bd/international-universities</x:v>
      </x:c>
    </x:row>
    <x:row r="7">
      <x:c r="A7" s="14" t="str">
        <x:v>Medical-college official source</x:v>
      </x:c>
      <x:c r="B7" s="14" t="str">
        <x:v>DGME government/private medical-college information pages.</x:v>
      </x:c>
      <x:c r="C7" s="14" t="str">
        <x:v>https://dgme.gov.bd/pages/static-pages/6922e0a5933eb65569e27ff3</x:v>
      </x:c>
    </x:row>
    <x:row r="8">
      <x:c r="A8" s="14" t="str">
        <x:v>Private medical colleges</x:v>
      </x:c>
      <x:c r="B8" s="14" t="str">
        <x:v>DGME private medical-college page.</x:v>
      </x:c>
      <x:c r="C8" s="14" t="str">
        <x:v>https://dgme.portal.gov.bd/pages/static-pages/6922dd3c933eb65569e140f7</x:v>
      </x:c>
    </x:row>
    <x:row r="9">
      <x:c r="A9" s="14" t="str">
        <x:v>Compiled medical-college list</x:v>
      </x:c>
      <x:c r="B9" s="14" t="str">
        <x:v>List of medical colleges in Bangladesh; includes public, private, military and proposed entries with locations.</x:v>
      </x:c>
      <x:c r="C9" s="14" t="str">
        <x:v>https://en.wikipedia.org/wiki/List_of_medical_colleges_in_Bangladesh</x:v>
      </x:c>
    </x:row>
    <x:row r="10">
      <x:c r="A10" s="14" t="str">
        <x:v>Compiled university cross-check</x:v>
      </x:c>
      <x:c r="B10" s="14" t="str">
        <x:v>List of universities in Bangladesh used for district/location cross-check where official page snippets did not expose full table text.</x:v>
      </x:c>
      <x:c r="C10" s="14" t="str">
        <x:v>https://en.wikipedia.org/wiki/List_of_universities_in_Bangladesh</x:v>
      </x:c>
    </x:row>
    <x:row r="11">
      <x:c r="A11" s="14" t="str">
        <x:v>Important caveat</x:v>
      </x:c>
      <x:c r="B11" s="14" t="str">
        <x:v>Approval, campus, academic-program and legal-validity status can change. For admission or official submission, verify the exact institution on UGC/DGME/BMDC before relying on it.</x:v>
      </x:c>
      <x:c r="C11" s="14" t="str"/>
    </x:row>
    <x:row r="12">
      <x:c r="A12" s="14" t="str">
        <x:v>Status notes</x:v>
      </x:c>
      <x:c r="B12" s="14" t="str">
        <x:v>Items with UGC warning, inactive/proposed, or academic-program uncertainty are retained but marked in Notes/Special Notes.</x:v>
      </x:c>
      <x:c r="C12" s="14" t="str"/>
    </x:row>
  </x:sheetData>
  <x:pageMargins left="0.7" right="0.7" top="0.75" bottom="0.75" header="0.3" footer="0.3"/>
  <x:tableParts count="1">
    <x:tablePart xmlns:r="http://schemas.openxmlformats.org/officeDocument/2006/relationships" r:id="Rcdb23fbfbe514b71"/>
  </x:tableParts>
</x:worksheet>
</file>